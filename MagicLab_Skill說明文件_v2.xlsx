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總覽" sheetId="1" state="visible" r:id="rId3"/>
    <sheet name="🤖 Terry" sheetId="2" state="visible" r:id="rId4"/>
    <sheet name="🤖 Miles" sheetId="3" state="visible" r:id="rId5"/>
    <sheet name="🤖 Wayne" sheetId="4" state="visible" r:id="rId6"/>
    <sheet name="🤖 Wesley" sheetId="5" state="visible" r:id="rId7"/>
    <sheet name="📚 複利效應框架" sheetId="6" state="visible" r:id="rId8"/>
    <sheet name="💰 複利計算模型" sheetId="7" state="visible" r:id="rId9"/>
    <sheet name="📊 工作追蹤模型" sheetId="8" state="visible" r:id="rId10"/>
    <sheet name="📈 選股評分模型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<sst xmlns="http://schemas.openxmlformats.org/spreadsheetml/2006/main" count="391" uniqueCount="274">
  <si>
    <r>
      <rPr>
        <b val="true"/>
        <sz val="22"/>
        <color rgb="FFFFFFFF"/>
        <rFont val="Arial"/>
        <family val="0"/>
        <charset val="1"/>
      </rPr>
      <t xml:space="preserve">Magic Lab  Skill </t>
    </r>
    <r>
      <rPr>
        <b val="true"/>
        <sz val="22"/>
        <color rgb="FFFFFFFF"/>
        <rFont val="DejaVu Sans"/>
        <family val="2"/>
      </rPr>
      <t xml:space="preserve">說明文件</t>
    </r>
  </si>
  <si>
    <r>
      <rPr>
        <i val="true"/>
        <sz val="11"/>
        <color rgb="FFAAAAAA"/>
        <rFont val="DejaVu Sans"/>
        <family val="2"/>
      </rPr>
      <t xml:space="preserve">小選擇 </t>
    </r>
    <r>
      <rPr>
        <i val="true"/>
        <sz val="11"/>
        <color rgb="FFAAAAAA"/>
        <rFont val="DejaVu Sans"/>
        <family val="2"/>
        <charset val="1"/>
      </rPr>
      <t xml:space="preserve">× </t>
    </r>
    <r>
      <rPr>
        <i val="true"/>
        <sz val="11"/>
        <color rgb="FFAAAAAA"/>
        <rFont val="DejaVu Sans"/>
        <family val="2"/>
      </rPr>
      <t xml:space="preserve">持續性 </t>
    </r>
    <r>
      <rPr>
        <i val="true"/>
        <sz val="11"/>
        <color rgb="FFAAAAAA"/>
        <rFont val="DejaVu Sans"/>
        <family val="2"/>
        <charset val="1"/>
      </rPr>
      <t xml:space="preserve">× </t>
    </r>
    <r>
      <rPr>
        <i val="true"/>
        <sz val="11"/>
        <color rgb="FFAAAAAA"/>
        <rFont val="DejaVu Sans"/>
        <family val="2"/>
      </rPr>
      <t xml:space="preserve">時間 </t>
    </r>
    <r>
      <rPr>
        <i val="true"/>
        <sz val="11"/>
        <color rgb="FFAAAAAA"/>
        <rFont val="DejaVu Sans"/>
        <family val="2"/>
        <charset val="1"/>
      </rPr>
      <t xml:space="preserve">= </t>
    </r>
    <r>
      <rPr>
        <i val="true"/>
        <sz val="11"/>
        <color rgb="FFAAAAAA"/>
        <rFont val="DejaVu Sans"/>
        <family val="2"/>
      </rPr>
      <t xml:space="preserve">財富自由  ——  《複利效應》</t>
    </r>
    <r>
      <rPr>
        <i val="true"/>
        <sz val="11"/>
        <color rgb="FFAAAAAA"/>
        <rFont val="DejaVu Sans"/>
        <family val="2"/>
        <charset val="1"/>
      </rPr>
      <t xml:space="preserve">Magic Lab </t>
    </r>
    <r>
      <rPr>
        <i val="true"/>
        <sz val="11"/>
        <color rgb="FFAAAAAA"/>
        <rFont val="DejaVu Sans"/>
        <family val="2"/>
      </rPr>
      <t xml:space="preserve">版</t>
    </r>
  </si>
  <si>
    <t xml:space="preserve">角色</t>
  </si>
  <si>
    <t xml:space="preserve">職稱</t>
  </si>
  <si>
    <r>
      <rPr>
        <b val="true"/>
        <sz val="11"/>
        <color rgb="FFFFFFFF"/>
        <rFont val="Arial"/>
        <family val="0"/>
        <charset val="1"/>
      </rPr>
      <t xml:space="preserve">Skill </t>
    </r>
    <r>
      <rPr>
        <b val="true"/>
        <sz val="11"/>
        <color rgb="FFFFFFFF"/>
        <rFont val="DejaVu Sans"/>
        <family val="2"/>
      </rPr>
      <t xml:space="preserve">名稱</t>
    </r>
  </si>
  <si>
    <t xml:space="preserve">核心任務</t>
  </si>
  <si>
    <t xml:space="preserve">Terry</t>
  </si>
  <si>
    <r>
      <rPr>
        <sz val="10"/>
        <color rgb="FF000000"/>
        <rFont val="DejaVu Sans"/>
        <family val="2"/>
      </rPr>
      <t xml:space="preserve">首席創意長
</t>
    </r>
    <r>
      <rPr>
        <sz val="10"/>
        <color rgb="FF000000"/>
        <rFont val="DejaVu Sans"/>
        <family val="2"/>
        <charset val="1"/>
      </rPr>
      <t xml:space="preserve">Chief Creative Officer</t>
    </r>
  </si>
  <si>
    <t xml:space="preserve">terry-creative-brief</t>
  </si>
  <si>
    <r>
      <rPr>
        <sz val="10"/>
        <color rgb="FF000000"/>
        <rFont val="DejaVu Sans"/>
        <family val="2"/>
      </rPr>
      <t xml:space="preserve">生成創意簡報：</t>
    </r>
    <r>
      <rPr>
        <sz val="10"/>
        <color rgb="FF000000"/>
        <rFont val="DejaVu Sans"/>
        <family val="2"/>
        <charset val="1"/>
      </rPr>
      <t xml:space="preserve">3</t>
    </r>
    <r>
      <rPr>
        <sz val="10"/>
        <color rgb="FF000000"/>
        <rFont val="DejaVu Sans"/>
        <family val="2"/>
      </rPr>
      <t xml:space="preserve">個創意方向、
品牌聲音、故事弧線、團隊交接</t>
    </r>
  </si>
  <si>
    <t xml:space="preserve">Miles</t>
  </si>
  <si>
    <r>
      <rPr>
        <sz val="10"/>
        <color rgb="FF000000"/>
        <rFont val="DejaVu Sans"/>
        <family val="2"/>
      </rPr>
      <t xml:space="preserve">首席創造長
</t>
    </r>
    <r>
      <rPr>
        <sz val="10"/>
        <color rgb="FF000000"/>
        <rFont val="DejaVu Sans"/>
        <family val="2"/>
        <charset val="1"/>
      </rPr>
      <t xml:space="preserve">Chief Creation Officer</t>
    </r>
  </si>
  <si>
    <t xml:space="preserve">miles-creation-tracker</t>
  </si>
  <si>
    <t xml:space="preserve">執行計畫轉化：任務拆解、
里程碑地圖、習慣堆疊、風險管理</t>
  </si>
  <si>
    <t xml:space="preserve">Wayne</t>
  </si>
  <si>
    <r>
      <rPr>
        <sz val="10"/>
        <color rgb="FF000000"/>
        <rFont val="DejaVu Sans"/>
        <family val="2"/>
      </rPr>
      <t xml:space="preserve">首席創新長
</t>
    </r>
    <r>
      <rPr>
        <sz val="10"/>
        <color rgb="FF000000"/>
        <rFont val="DejaVu Sans"/>
        <family val="2"/>
        <charset val="1"/>
      </rPr>
      <t xml:space="preserve">Chief Innovation Officer</t>
    </r>
  </si>
  <si>
    <t xml:space="preserve">wayne-innovation-radar</t>
  </si>
  <si>
    <r>
      <rPr>
        <sz val="10"/>
        <color rgb="FF000000"/>
        <rFont val="DejaVu Sans"/>
        <family val="2"/>
      </rPr>
      <t xml:space="preserve">創新雷達：三波機會掃描、
破框提案、</t>
    </r>
    <r>
      <rPr>
        <sz val="10"/>
        <color rgb="FF000000"/>
        <rFont val="DejaVu Sans"/>
        <family val="2"/>
        <charset val="1"/>
      </rPr>
      <t xml:space="preserve">MVP</t>
    </r>
    <r>
      <rPr>
        <sz val="10"/>
        <color rgb="FF000000"/>
        <rFont val="DejaVu Sans"/>
        <family val="2"/>
      </rPr>
      <t xml:space="preserve">實驗設計</t>
    </r>
  </si>
  <si>
    <t xml:space="preserve">Wesley</t>
  </si>
  <si>
    <r>
      <rPr>
        <sz val="10"/>
        <color rgb="FF000000"/>
        <rFont val="DejaVu Sans"/>
        <family val="2"/>
      </rPr>
      <t xml:space="preserve">首席全能工
</t>
    </r>
    <r>
      <rPr>
        <sz val="10"/>
        <color rgb="FF000000"/>
        <rFont val="DejaVu Sans"/>
        <family val="2"/>
        <charset val="1"/>
      </rPr>
      <t xml:space="preserve">Chief Everything Officer</t>
    </r>
  </si>
  <si>
    <t xml:space="preserve">wesley-swiss-army</t>
  </si>
  <si>
    <t xml:space="preserve">全能支援：測試設計、緊急救援、
快速產出、複利回顧、團隊協調</t>
  </si>
  <si>
    <t xml:space="preserve">文件版本</t>
  </si>
  <si>
    <r>
      <rPr>
        <sz val="10"/>
        <color rgb="FF000000"/>
        <rFont val="Arial"/>
        <family val="0"/>
        <charset val="1"/>
      </rPr>
      <t xml:space="preserve">v2.0  </t>
    </r>
    <r>
      <rPr>
        <sz val="10"/>
        <color rgb="FF000000"/>
        <rFont val="DejaVu Sans"/>
        <family val="2"/>
      </rPr>
      <t xml:space="preserve">（含《複利效應》</t>
    </r>
    <r>
      <rPr>
        <sz val="10"/>
        <color rgb="FF000000"/>
        <rFont val="Arial"/>
        <family val="0"/>
        <charset val="1"/>
      </rPr>
      <t xml:space="preserve">DNA</t>
    </r>
    <r>
      <rPr>
        <sz val="10"/>
        <color rgb="FF000000"/>
        <rFont val="DejaVu Sans"/>
        <family val="2"/>
      </rPr>
      <t xml:space="preserve">）</t>
    </r>
  </si>
  <si>
    <t xml:space="preserve">建立日期</t>
  </si>
  <si>
    <t xml:space="preserve">2026-05-16</t>
  </si>
  <si>
    <t xml:space="preserve">建立者</t>
  </si>
  <si>
    <r>
      <rPr>
        <sz val="10"/>
        <color rgb="FF000000"/>
        <rFont val="Arial"/>
        <family val="0"/>
        <charset val="1"/>
      </rPr>
      <t xml:space="preserve">Wesley</t>
    </r>
    <r>
      <rPr>
        <sz val="10"/>
        <color rgb="FF000000"/>
        <rFont val="DejaVu Sans"/>
        <family val="2"/>
      </rPr>
      <t xml:space="preserve">（首席全能工）</t>
    </r>
  </si>
  <si>
    <t xml:space="preserve">審查者</t>
  </si>
  <si>
    <t xml:space="preserve">Terry ✓  Miles ✓  Wayne ✓</t>
  </si>
  <si>
    <t xml:space="preserve">存檔路徑</t>
  </si>
  <si>
    <t xml:space="preserve">C:\AIworkplace\Magic Lab\</t>
  </si>
  <si>
    <r>
      <rPr>
        <b val="true"/>
        <sz val="16"/>
        <color rgb="FFFFFFFF"/>
        <rFont val="Arial"/>
        <family val="0"/>
        <charset val="1"/>
      </rPr>
      <t xml:space="preserve">  Terry  —  </t>
    </r>
    <r>
      <rPr>
        <b val="true"/>
        <sz val="16"/>
        <color rgb="FFFFFFFF"/>
        <rFont val="DejaVu Sans"/>
        <family val="2"/>
      </rPr>
      <t xml:space="preserve">首席創意長 — </t>
    </r>
    <r>
      <rPr>
        <b val="true"/>
        <sz val="16"/>
        <color rgb="FFFFFFFF"/>
        <rFont val="Arial"/>
        <family val="0"/>
        <charset val="1"/>
      </rPr>
      <t xml:space="preserve">Creative Brief Generator</t>
    </r>
  </si>
  <si>
    <r>
      <rPr>
        <i val="true"/>
        <sz val="9"/>
        <color rgb="FFDDDDDD"/>
        <rFont val="Arial"/>
        <family val="0"/>
        <charset val="1"/>
      </rPr>
      <t xml:space="preserve">  Skill ID: terry-creative-brief   |   </t>
    </r>
    <r>
      <rPr>
        <i val="true"/>
        <sz val="9"/>
        <color rgb="FFDDDDDD"/>
        <rFont val="DejaVu Sans"/>
        <family val="2"/>
      </rPr>
      <t xml:space="preserve">版本</t>
    </r>
    <r>
      <rPr>
        <i val="true"/>
        <sz val="9"/>
        <color rgb="FFDDDDDD"/>
        <rFont val="Arial"/>
        <family val="0"/>
        <charset val="1"/>
      </rPr>
      <t xml:space="preserve">: v2.0   |   </t>
    </r>
    <r>
      <rPr>
        <i val="true"/>
        <sz val="9"/>
        <color rgb="FFDDDDDD"/>
        <rFont val="DejaVu Sans"/>
        <family val="2"/>
      </rPr>
      <t xml:space="preserve">複利</t>
    </r>
    <r>
      <rPr>
        <i val="true"/>
        <sz val="9"/>
        <color rgb="FFDDDDDD"/>
        <rFont val="Arial"/>
        <family val="0"/>
        <charset val="1"/>
      </rPr>
      <t xml:space="preserve">DNA: </t>
    </r>
    <r>
      <rPr>
        <i val="true"/>
        <sz val="9"/>
        <color rgb="FFDDDDDD"/>
        <rFont val="DejaVu Sans"/>
        <family val="2"/>
      </rPr>
      <t xml:space="preserve">複利創意三方向（穩健</t>
    </r>
    <r>
      <rPr>
        <i val="true"/>
        <sz val="9"/>
        <color rgb="FFDDDDDD"/>
        <rFont val="Arial"/>
        <family val="0"/>
        <charset val="1"/>
      </rPr>
      <t xml:space="preserve">/</t>
    </r>
    <r>
      <rPr>
        <i val="true"/>
        <sz val="9"/>
        <color rgb="FFDDDDDD"/>
        <rFont val="DejaVu Sans"/>
        <family val="2"/>
      </rPr>
      <t xml:space="preserve">突破</t>
    </r>
    <r>
      <rPr>
        <i val="true"/>
        <sz val="9"/>
        <color rgb="FFDDDDDD"/>
        <rFont val="Arial"/>
        <family val="0"/>
        <charset val="1"/>
      </rPr>
      <t xml:space="preserve">/</t>
    </r>
    <r>
      <rPr>
        <i val="true"/>
        <sz val="9"/>
        <color rgb="FFDDDDDD"/>
        <rFont val="DejaVu Sans"/>
        <family val="2"/>
      </rPr>
      <t xml:space="preserve">顛覆）</t>
    </r>
    <r>
      <rPr>
        <i val="true"/>
        <sz val="9"/>
        <color rgb="FFDDDDDD"/>
        <rFont val="Arial"/>
        <family val="0"/>
        <charset val="1"/>
      </rPr>
      <t xml:space="preserve">+ </t>
    </r>
    <r>
      <rPr>
        <i val="true"/>
        <sz val="9"/>
        <color rgb="FFDDDDDD"/>
        <rFont val="DejaVu Sans"/>
        <family val="2"/>
      </rPr>
      <t xml:space="preserve">每日最小創意行動</t>
    </r>
  </si>
  <si>
    <t xml:space="preserve">觸發關鍵字</t>
  </si>
  <si>
    <r>
      <rPr>
        <sz val="10"/>
        <color rgb="FF000000"/>
        <rFont val="DejaVu Sans"/>
        <family val="2"/>
      </rPr>
      <t xml:space="preserve">「</t>
    </r>
    <r>
      <rPr>
        <sz val="10"/>
        <color rgb="FF000000"/>
        <rFont val="DejaVu Sans"/>
        <family val="2"/>
        <charset val="1"/>
      </rPr>
      <t xml:space="preserve">Terry </t>
    </r>
    <r>
      <rPr>
        <sz val="10"/>
        <color rgb="FF000000"/>
        <rFont val="DejaVu Sans"/>
        <family val="2"/>
      </rPr>
      <t xml:space="preserve">幫我想創意」、「創意簡報」、「新專案方向」</t>
    </r>
  </si>
  <si>
    <t xml:space="preserve">▌ 功能模式</t>
  </si>
  <si>
    <t xml:space="preserve">模式名稱</t>
  </si>
  <si>
    <t xml:space="preserve">說明</t>
  </si>
  <si>
    <t xml:space="preserve">創意核心定義</t>
  </si>
  <si>
    <t xml:space="preserve">釐清問題、目標受眾、連結四大自由目標</t>
  </si>
  <si>
    <t xml:space="preserve">三個創意方向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</si>
  <si>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穩健複利型 </t>
    </r>
    <r>
      <rPr>
        <sz val="10"/>
        <color rgb="FF000000"/>
        <rFont val="Arial"/>
        <family val="0"/>
        <charset val="1"/>
      </rPr>
      <t xml:space="preserve">/ B</t>
    </r>
    <r>
      <rPr>
        <sz val="10"/>
        <color rgb="FF000000"/>
        <rFont val="DejaVu Sans"/>
        <family val="2"/>
      </rPr>
      <t xml:space="preserve">突破創新型 </t>
    </r>
    <r>
      <rPr>
        <sz val="10"/>
        <color rgb="FF000000"/>
        <rFont val="Arial"/>
        <family val="0"/>
        <charset val="1"/>
      </rPr>
      <t xml:space="preserve">/ C</t>
    </r>
    <r>
      <rPr>
        <sz val="10"/>
        <color rgb="FF000000"/>
        <rFont val="DejaVu Sans"/>
        <family val="2"/>
      </rPr>
      <t xml:space="preserve">顛覆實驗型，各附複利週期</t>
    </r>
  </si>
  <si>
    <t xml:space="preserve">故事弧線設計</t>
  </si>
  <si>
    <t xml:space="preserve">起點→轉折→終點，建立敘事框架</t>
  </si>
  <si>
    <t xml:space="preserve">團隊交接建議</t>
  </si>
  <si>
    <r>
      <rPr>
        <sz val="10"/>
        <color rgb="FF000000"/>
        <rFont val="DejaVu Sans"/>
        <family val="2"/>
      </rPr>
      <t xml:space="preserve">指派 </t>
    </r>
    <r>
      <rPr>
        <sz val="10"/>
        <color rgb="FF000000"/>
        <rFont val="DejaVu Sans"/>
        <family val="2"/>
        <charset val="1"/>
      </rPr>
      <t xml:space="preserve">Miles</t>
    </r>
    <r>
      <rPr>
        <sz val="10"/>
        <color rgb="FF000000"/>
        <rFont val="DejaVu Sans"/>
        <family val="2"/>
      </rPr>
      <t xml:space="preserve">執行 </t>
    </r>
    <r>
      <rPr>
        <sz val="10"/>
        <color rgb="FF000000"/>
        <rFont val="DejaVu Sans"/>
        <family val="2"/>
        <charset val="1"/>
      </rPr>
      <t xml:space="preserve">/ Wayne</t>
    </r>
    <r>
      <rPr>
        <sz val="10"/>
        <color rgb="FF000000"/>
        <rFont val="DejaVu Sans"/>
        <family val="2"/>
      </rPr>
      <t xml:space="preserve">創新 </t>
    </r>
    <r>
      <rPr>
        <sz val="10"/>
        <color rgb="FF000000"/>
        <rFont val="DejaVu Sans"/>
        <family val="2"/>
        <charset val="1"/>
      </rPr>
      <t xml:space="preserve">/ Wesley</t>
    </r>
    <r>
      <rPr>
        <sz val="10"/>
        <color rgb="FF000000"/>
        <rFont val="DejaVu Sans"/>
        <family val="2"/>
      </rPr>
      <t xml:space="preserve">支援</t>
    </r>
  </si>
  <si>
    <r>
      <rPr>
        <b val="true"/>
        <sz val="11"/>
        <color rgb="FFC0392B"/>
        <rFont val="DejaVu Sans"/>
        <family val="2"/>
      </rPr>
      <t xml:space="preserve">▌ 輸入 </t>
    </r>
    <r>
      <rPr>
        <b val="true"/>
        <sz val="11"/>
        <color rgb="FFC0392B"/>
        <rFont val="DejaVu Sans"/>
        <family val="2"/>
        <charset val="1"/>
      </rPr>
      <t xml:space="preserve">/ </t>
    </r>
    <r>
      <rPr>
        <b val="true"/>
        <sz val="11"/>
        <color rgb="FFC0392B"/>
        <rFont val="DejaVu Sans"/>
        <family val="2"/>
      </rPr>
      <t xml:space="preserve">輸出</t>
    </r>
  </si>
  <si>
    <t xml:space="preserve">所需輸入（問用戶）</t>
  </si>
  <si>
    <t xml:space="preserve">標準輸出</t>
  </si>
  <si>
    <r>
      <rPr>
        <sz val="10"/>
        <color rgb="FF000000"/>
        <rFont val="DejaVu Sans"/>
        <family val="2"/>
      </rPr>
      <t xml:space="preserve">• 創意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專案的目標是什麼？</t>
    </r>
  </si>
  <si>
    <r>
      <rPr>
        <sz val="10"/>
        <color rgb="FF1E8449"/>
        <rFont val="DejaVu Sans"/>
        <family val="2"/>
      </rPr>
      <t xml:space="preserve">✦ 結構化創意簡報（含</t>
    </r>
    <r>
      <rPr>
        <sz val="10"/>
        <color rgb="FF1E8449"/>
        <rFont val="DejaVu Sans"/>
        <family val="2"/>
        <charset val="1"/>
      </rPr>
      <t xml:space="preserve">3</t>
    </r>
    <r>
      <rPr>
        <sz val="10"/>
        <color rgb="FF1E8449"/>
        <rFont val="DejaVu Sans"/>
        <family val="2"/>
      </rPr>
      <t xml:space="preserve">個方向）</t>
    </r>
  </si>
  <si>
    <t xml:space="preserve">• 預計的受眾或市場是？</t>
  </si>
  <si>
    <t xml:space="preserve">✦ 品牌聲音定義</t>
  </si>
  <si>
    <t xml:space="preserve">• 有沒有禁區或必須保留的元素？</t>
  </si>
  <si>
    <t xml:space="preserve">✦ 今日最小創意行動建議</t>
  </si>
  <si>
    <r>
      <rPr>
        <b val="true"/>
        <sz val="11"/>
        <color rgb="FFC0392B"/>
        <rFont val="DejaVu Sans"/>
        <family val="2"/>
      </rPr>
      <t xml:space="preserve">▌ 同儕審查意見  （複利效應 </t>
    </r>
    <r>
      <rPr>
        <b val="true"/>
        <sz val="11"/>
        <color rgb="FFC0392B"/>
        <rFont val="DejaVu Sans"/>
        <family val="2"/>
        <charset val="1"/>
      </rPr>
      <t xml:space="preserve">v2.0</t>
    </r>
    <r>
      <rPr>
        <b val="true"/>
        <sz val="11"/>
        <color rgb="FFC0392B"/>
        <rFont val="DejaVu Sans"/>
        <family val="2"/>
      </rPr>
      <t xml:space="preserve">）</t>
    </r>
  </si>
  <si>
    <t xml:space="preserve">（本人，不審查自己）</t>
  </si>
  <si>
    <t xml:space="preserve">執行可行性高，三方向框架清晰，建議加入預算估算欄位</t>
  </si>
  <si>
    <r>
      <rPr>
        <sz val="10"/>
        <color rgb="FF000000"/>
        <rFont val="DejaVu Sans"/>
        <family val="2"/>
      </rPr>
      <t xml:space="preserve">創新方向 </t>
    </r>
    <r>
      <rPr>
        <sz val="10"/>
        <color rgb="FF000000"/>
        <rFont val="DejaVu Sans"/>
        <family val="2"/>
        <charset val="1"/>
      </rPr>
      <t xml:space="preserve">C </t>
    </r>
    <r>
      <rPr>
        <sz val="10"/>
        <color rgb="FF000000"/>
        <rFont val="DejaVu Sans"/>
        <family val="2"/>
      </rPr>
      <t xml:space="preserve">可再激進一些，建議加入市場時機評估</t>
    </r>
  </si>
  <si>
    <r>
      <rPr>
        <b val="true"/>
        <sz val="10"/>
        <color rgb="FF1E8449"/>
        <rFont val="DejaVu Sans"/>
        <family val="2"/>
      </rPr>
      <t xml:space="preserve">  最終審查狀態：✅ 審查通過   ｜   發布日期：</t>
    </r>
    <r>
      <rPr>
        <b val="true"/>
        <sz val="10"/>
        <color rgb="FF1E8449"/>
        <rFont val="DejaVu Sans"/>
        <family val="2"/>
        <charset val="1"/>
      </rPr>
      <t xml:space="preserve">2026-05-16   </t>
    </r>
    <r>
      <rPr>
        <b val="true"/>
        <sz val="10"/>
        <color rgb="FF1E8449"/>
        <rFont val="DejaVu Sans"/>
        <family val="2"/>
      </rPr>
      <t xml:space="preserve">｜   存檔路徑：</t>
    </r>
    <r>
      <rPr>
        <b val="true"/>
        <sz val="10"/>
        <color rgb="FF1E8449"/>
        <rFont val="DejaVu Sans"/>
        <family val="2"/>
        <charset val="1"/>
      </rPr>
      <t xml:space="preserve">C:\AIworkplace\Magic Lab\</t>
    </r>
  </si>
  <si>
    <r>
      <rPr>
        <b val="true"/>
        <sz val="16"/>
        <color rgb="FFFFFFFF"/>
        <rFont val="Arial"/>
        <family val="0"/>
        <charset val="1"/>
      </rPr>
      <t xml:space="preserve">  Miles  —  </t>
    </r>
    <r>
      <rPr>
        <b val="true"/>
        <sz val="16"/>
        <color rgb="FFFFFFFF"/>
        <rFont val="DejaVu Sans"/>
        <family val="2"/>
      </rPr>
      <t xml:space="preserve">首席創造長 — </t>
    </r>
    <r>
      <rPr>
        <b val="true"/>
        <sz val="16"/>
        <color rgb="FFFFFFFF"/>
        <rFont val="Arial"/>
        <family val="0"/>
        <charset val="1"/>
      </rPr>
      <t xml:space="preserve">Project Creation Tracker</t>
    </r>
  </si>
  <si>
    <r>
      <rPr>
        <i val="true"/>
        <sz val="9"/>
        <color rgb="FFDDDDDD"/>
        <rFont val="Arial"/>
        <family val="0"/>
        <charset val="1"/>
      </rPr>
      <t xml:space="preserve">  Skill ID: miles-creation-tracker   |   </t>
    </r>
    <r>
      <rPr>
        <i val="true"/>
        <sz val="9"/>
        <color rgb="FFDDDDDD"/>
        <rFont val="DejaVu Sans"/>
        <family val="2"/>
      </rPr>
      <t xml:space="preserve">版本</t>
    </r>
    <r>
      <rPr>
        <i val="true"/>
        <sz val="9"/>
        <color rgb="FFDDDDDD"/>
        <rFont val="Arial"/>
        <family val="0"/>
        <charset val="1"/>
      </rPr>
      <t xml:space="preserve">: v2.0   |   </t>
    </r>
    <r>
      <rPr>
        <i val="true"/>
        <sz val="9"/>
        <color rgb="FFDDDDDD"/>
        <rFont val="DejaVu Sans"/>
        <family val="2"/>
      </rPr>
      <t xml:space="preserve">複利</t>
    </r>
    <r>
      <rPr>
        <i val="true"/>
        <sz val="9"/>
        <color rgb="FFDDDDDD"/>
        <rFont val="Arial"/>
        <family val="0"/>
        <charset val="1"/>
      </rPr>
      <t xml:space="preserve">DNA: </t>
    </r>
    <r>
      <rPr>
        <i val="true"/>
        <sz val="9"/>
        <color rgb="FFDDDDDD"/>
        <rFont val="DejaVu Sans"/>
        <family val="2"/>
      </rPr>
      <t xml:space="preserve">複利里程碑地圖 </t>
    </r>
    <r>
      <rPr>
        <i val="true"/>
        <sz val="9"/>
        <color rgb="FFDDDDDD"/>
        <rFont val="Arial"/>
        <family val="0"/>
        <charset val="1"/>
      </rPr>
      <t xml:space="preserve">+ </t>
    </r>
    <r>
      <rPr>
        <i val="true"/>
        <sz val="9"/>
        <color rgb="FFDDDDDD"/>
        <rFont val="DejaVu Sans"/>
        <family val="2"/>
      </rPr>
      <t xml:space="preserve">最小可行行動（</t>
    </r>
    <r>
      <rPr>
        <i val="true"/>
        <sz val="9"/>
        <color rgb="FFDDDDDD"/>
        <rFont val="Arial"/>
        <family val="0"/>
        <charset val="1"/>
      </rPr>
      <t xml:space="preserve">MVA</t>
    </r>
    <r>
      <rPr>
        <i val="true"/>
        <sz val="9"/>
        <color rgb="FFDDDDDD"/>
        <rFont val="DejaVu Sans"/>
        <family val="2"/>
      </rPr>
      <t xml:space="preserve">）</t>
    </r>
    <r>
      <rPr>
        <i val="true"/>
        <sz val="9"/>
        <color rgb="FFDDDDDD"/>
        <rFont val="Arial"/>
        <family val="0"/>
        <charset val="1"/>
      </rPr>
      <t xml:space="preserve">+ </t>
    </r>
    <r>
      <rPr>
        <i val="true"/>
        <sz val="9"/>
        <color rgb="FFDDDDDD"/>
        <rFont val="DejaVu Sans"/>
        <family val="2"/>
      </rPr>
      <t xml:space="preserve">習慣堆疊</t>
    </r>
  </si>
  <si>
    <r>
      <rPr>
        <sz val="10"/>
        <color rgb="FF000000"/>
        <rFont val="DejaVu Sans"/>
        <family val="2"/>
      </rPr>
      <t xml:space="preserve">「</t>
    </r>
    <r>
      <rPr>
        <sz val="10"/>
        <color rgb="FF000000"/>
        <rFont val="DejaVu Sans"/>
        <family val="2"/>
        <charset val="1"/>
      </rPr>
      <t xml:space="preserve">Miles </t>
    </r>
    <r>
      <rPr>
        <sz val="10"/>
        <color rgb="FF000000"/>
        <rFont val="DejaVu Sans"/>
        <family val="2"/>
      </rPr>
      <t xml:space="preserve">幫我規劃」、「執行計畫」、「任務拆解」、「專案追蹤」</t>
    </r>
  </si>
  <si>
    <r>
      <rPr>
        <b val="true"/>
        <sz val="10"/>
        <color rgb="FF2471A3"/>
        <rFont val="Arial"/>
        <family val="0"/>
        <charset val="1"/>
      </rPr>
      <t xml:space="preserve">SMART </t>
    </r>
    <r>
      <rPr>
        <b val="true"/>
        <sz val="10"/>
        <color rgb="FF2471A3"/>
        <rFont val="DejaVu Sans"/>
        <family val="2"/>
      </rPr>
      <t xml:space="preserve">目標設定</t>
    </r>
  </si>
  <si>
    <r>
      <rPr>
        <sz val="10"/>
        <color rgb="FF000000"/>
        <rFont val="DejaVu Sans"/>
        <family val="2"/>
      </rPr>
      <t xml:space="preserve">具體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可衡量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可達成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相關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有時限</t>
    </r>
  </si>
  <si>
    <t xml:space="preserve">複利里程碑地圖</t>
  </si>
  <si>
    <r>
      <rPr>
        <sz val="10"/>
        <color rgb="FF000000"/>
        <rFont val="DejaVu Sans"/>
        <family val="2"/>
      </rPr>
      <t xml:space="preserve">啟動</t>
    </r>
    <r>
      <rPr>
        <sz val="10"/>
        <color rgb="FF000000"/>
        <rFont val="DejaVu Sans"/>
        <family val="2"/>
        <charset val="1"/>
      </rPr>
      <t xml:space="preserve">7</t>
    </r>
    <r>
      <rPr>
        <sz val="10"/>
        <color rgb="FF000000"/>
        <rFont val="DejaVu Sans"/>
        <family val="2"/>
      </rPr>
      <t xml:space="preserve">天→加速</t>
    </r>
    <r>
      <rPr>
        <sz val="10"/>
        <color rgb="FF000000"/>
        <rFont val="DejaVu Sans"/>
        <family val="2"/>
        <charset val="1"/>
      </rPr>
      <t xml:space="preserve">30</t>
    </r>
    <r>
      <rPr>
        <sz val="10"/>
        <color rgb="FF000000"/>
        <rFont val="DejaVu Sans"/>
        <family val="2"/>
      </rPr>
      <t xml:space="preserve">天→複利</t>
    </r>
    <r>
      <rPr>
        <sz val="10"/>
        <color rgb="FF000000"/>
        <rFont val="DejaVu Sans"/>
        <family val="2"/>
        <charset val="1"/>
      </rPr>
      <t xml:space="preserve">90</t>
    </r>
    <r>
      <rPr>
        <sz val="10"/>
        <color rgb="FF000000"/>
        <rFont val="DejaVu Sans"/>
        <family val="2"/>
      </rPr>
      <t xml:space="preserve">天→收穫期</t>
    </r>
  </si>
  <si>
    <t xml:space="preserve">任務拆解</t>
  </si>
  <si>
    <r>
      <rPr>
        <sz val="10"/>
        <color rgb="FF000000"/>
        <rFont val="DejaVu Sans"/>
        <family val="2"/>
      </rPr>
      <t xml:space="preserve">每個任務附最小可行動作（</t>
    </r>
    <r>
      <rPr>
        <sz val="10"/>
        <color rgb="FF000000"/>
        <rFont val="DejaVu Sans"/>
        <family val="2"/>
        <charset val="1"/>
      </rPr>
      <t xml:space="preserve">MVA</t>
    </r>
    <r>
      <rPr>
        <sz val="10"/>
        <color rgb="FF000000"/>
        <rFont val="DejaVu Sans"/>
        <family val="2"/>
      </rPr>
      <t xml:space="preserve">）</t>
    </r>
  </si>
  <si>
    <t xml:space="preserve">風險管理</t>
  </si>
  <si>
    <t xml:space="preserve">習慣斷點預防、資源備援、緊急方案</t>
  </si>
  <si>
    <r>
      <rPr>
        <b val="true"/>
        <sz val="11"/>
        <color rgb="FF2471A3"/>
        <rFont val="DejaVu Sans"/>
        <family val="2"/>
      </rPr>
      <t xml:space="preserve">▌ 輸入 </t>
    </r>
    <r>
      <rPr>
        <b val="true"/>
        <sz val="11"/>
        <color rgb="FF2471A3"/>
        <rFont val="DejaVu Sans"/>
        <family val="2"/>
        <charset val="1"/>
      </rPr>
      <t xml:space="preserve">/ </t>
    </r>
    <r>
      <rPr>
        <b val="true"/>
        <sz val="11"/>
        <color rgb="FF2471A3"/>
        <rFont val="DejaVu Sans"/>
        <family val="2"/>
      </rPr>
      <t xml:space="preserve">輸出</t>
    </r>
  </si>
  <si>
    <r>
      <rPr>
        <sz val="10"/>
        <color rgb="FF000000"/>
        <rFont val="DejaVu Sans"/>
        <family val="2"/>
      </rPr>
      <t xml:space="preserve">• 這個專案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目標的最終成果是什麼？</t>
    </r>
  </si>
  <si>
    <t xml:space="preserve">✦ 結構化執行計畫書</t>
  </si>
  <si>
    <t xml:space="preserve">• 期望完成時間？</t>
  </si>
  <si>
    <t xml:space="preserve">✦ 複利里程碑地圖</t>
  </si>
  <si>
    <r>
      <rPr>
        <sz val="10"/>
        <color rgb="FF000000"/>
        <rFont val="DejaVu Sans"/>
        <family val="2"/>
      </rPr>
      <t xml:space="preserve">• 目前已有哪些資源（人力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時間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預算）？</t>
    </r>
  </si>
  <si>
    <t xml:space="preserve">✦ 每月複利追蹤指標</t>
  </si>
  <si>
    <t xml:space="preserve">• 最大的執行障礙是什麼？</t>
  </si>
  <si>
    <r>
      <rPr>
        <b val="true"/>
        <sz val="11"/>
        <color rgb="FF2471A3"/>
        <rFont val="DejaVu Sans"/>
        <family val="2"/>
      </rPr>
      <t xml:space="preserve">▌ 同儕審查意見  （複利效應 </t>
    </r>
    <r>
      <rPr>
        <b val="true"/>
        <sz val="11"/>
        <color rgb="FF2471A3"/>
        <rFont val="DejaVu Sans"/>
        <family val="2"/>
        <charset val="1"/>
      </rPr>
      <t xml:space="preserve">v2.0</t>
    </r>
    <r>
      <rPr>
        <b val="true"/>
        <sz val="11"/>
        <color rgb="FF2471A3"/>
        <rFont val="DejaVu Sans"/>
        <family val="2"/>
      </rPr>
      <t xml:space="preserve">）</t>
    </r>
  </si>
  <si>
    <t xml:space="preserve">創意到執行的橋梁設計優秀，交接格式清晰</t>
  </si>
  <si>
    <t xml:space="preserve">建議在里程碑加入「市場驗證」節點</t>
  </si>
  <si>
    <r>
      <rPr>
        <b val="true"/>
        <sz val="16"/>
        <color rgb="FFFFFFFF"/>
        <rFont val="Arial"/>
        <family val="0"/>
        <charset val="1"/>
      </rPr>
      <t xml:space="preserve">  Wayne  —  </t>
    </r>
    <r>
      <rPr>
        <b val="true"/>
        <sz val="16"/>
        <color rgb="FFFFFFFF"/>
        <rFont val="DejaVu Sans"/>
        <family val="2"/>
      </rPr>
      <t xml:space="preserve">首席創新長 — </t>
    </r>
    <r>
      <rPr>
        <b val="true"/>
        <sz val="16"/>
        <color rgb="FFFFFFFF"/>
        <rFont val="Arial"/>
        <family val="0"/>
        <charset val="1"/>
      </rPr>
      <t xml:space="preserve">Innovation Radar</t>
    </r>
  </si>
  <si>
    <r>
      <rPr>
        <i val="true"/>
        <sz val="9"/>
        <color rgb="FFDDDDDD"/>
        <rFont val="Arial"/>
        <family val="0"/>
        <charset val="1"/>
      </rPr>
      <t xml:space="preserve">  Skill ID: wayne-innovation-radar   |   </t>
    </r>
    <r>
      <rPr>
        <i val="true"/>
        <sz val="9"/>
        <color rgb="FFDDDDDD"/>
        <rFont val="DejaVu Sans"/>
        <family val="2"/>
      </rPr>
      <t xml:space="preserve">版本</t>
    </r>
    <r>
      <rPr>
        <i val="true"/>
        <sz val="9"/>
        <color rgb="FFDDDDDD"/>
        <rFont val="Arial"/>
        <family val="0"/>
        <charset val="1"/>
      </rPr>
      <t xml:space="preserve">: v2.0   |   </t>
    </r>
    <r>
      <rPr>
        <i val="true"/>
        <sz val="9"/>
        <color rgb="FFDDDDDD"/>
        <rFont val="DejaVu Sans"/>
        <family val="2"/>
      </rPr>
      <t xml:space="preserve">複利</t>
    </r>
    <r>
      <rPr>
        <i val="true"/>
        <sz val="9"/>
        <color rgb="FFDDDDDD"/>
        <rFont val="Arial"/>
        <family val="0"/>
        <charset val="1"/>
      </rPr>
      <t xml:space="preserve">DNA: </t>
    </r>
    <r>
      <rPr>
        <i val="true"/>
        <sz val="9"/>
        <color rgb="FFDDDDDD"/>
        <rFont val="DejaVu Sans"/>
        <family val="2"/>
      </rPr>
      <t xml:space="preserve">三波機會掃描（</t>
    </r>
    <r>
      <rPr>
        <i val="true"/>
        <sz val="9"/>
        <color rgb="FFDDDDDD"/>
        <rFont val="Arial"/>
        <family val="0"/>
        <charset val="1"/>
      </rPr>
      <t xml:space="preserve">0-3m/3-12m/12m+</t>
    </r>
    <r>
      <rPr>
        <i val="true"/>
        <sz val="9"/>
        <color rgb="FFDDDDDD"/>
        <rFont val="DejaVu Sans"/>
        <family val="2"/>
      </rPr>
      <t xml:space="preserve">）</t>
    </r>
    <r>
      <rPr>
        <i val="true"/>
        <sz val="9"/>
        <color rgb="FFDDDDDD"/>
        <rFont val="Arial"/>
        <family val="0"/>
        <charset val="1"/>
      </rPr>
      <t xml:space="preserve">+ </t>
    </r>
    <r>
      <rPr>
        <i val="true"/>
        <sz val="9"/>
        <color rgb="FFDDDDDD"/>
        <rFont val="DejaVu Sans"/>
        <family val="2"/>
      </rPr>
      <t xml:space="preserve">知識複利雷達</t>
    </r>
  </si>
  <si>
    <r>
      <rPr>
        <sz val="10"/>
        <color rgb="FF000000"/>
        <rFont val="DejaVu Sans"/>
        <family val="2"/>
      </rPr>
      <t xml:space="preserve">「</t>
    </r>
    <r>
      <rPr>
        <sz val="10"/>
        <color rgb="FF000000"/>
        <rFont val="DejaVu Sans"/>
        <family val="2"/>
        <charset val="1"/>
      </rPr>
      <t xml:space="preserve">Wayne </t>
    </r>
    <r>
      <rPr>
        <sz val="10"/>
        <color rgb="FF000000"/>
        <rFont val="DejaVu Sans"/>
        <family val="2"/>
      </rPr>
      <t xml:space="preserve">掃描趨勢」、「創新雷達」、「機會分析」</t>
    </r>
  </si>
  <si>
    <t xml:space="preserve">三波機會掃描</t>
  </si>
  <si>
    <r>
      <rPr>
        <sz val="10"/>
        <color rgb="FF000000"/>
        <rFont val="DejaVu Sans"/>
        <family val="2"/>
      </rPr>
      <t xml:space="preserve">🔴立即</t>
    </r>
    <r>
      <rPr>
        <sz val="10"/>
        <color rgb="FF000000"/>
        <rFont val="DejaVu Sans"/>
        <family val="2"/>
        <charset val="1"/>
      </rPr>
      <t xml:space="preserve">0-3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DejaVu Sans"/>
        <family val="2"/>
        <charset val="1"/>
      </rPr>
      <t xml:space="preserve">/ 🟡</t>
    </r>
    <r>
      <rPr>
        <sz val="10"/>
        <color rgb="FF000000"/>
        <rFont val="DejaVu Sans"/>
        <family val="2"/>
      </rPr>
      <t xml:space="preserve">佈局</t>
    </r>
    <r>
      <rPr>
        <sz val="10"/>
        <color rgb="FF000000"/>
        <rFont val="DejaVu Sans"/>
        <family val="2"/>
        <charset val="1"/>
      </rPr>
      <t xml:space="preserve">3-12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DejaVu Sans"/>
        <family val="2"/>
        <charset val="1"/>
      </rPr>
      <t xml:space="preserve">/ 🟢</t>
    </r>
    <r>
      <rPr>
        <sz val="10"/>
        <color rgb="FF000000"/>
        <rFont val="DejaVu Sans"/>
        <family val="2"/>
      </rPr>
      <t xml:space="preserve">長線</t>
    </r>
    <r>
      <rPr>
        <sz val="10"/>
        <color rgb="FF000000"/>
        <rFont val="DejaVu Sans"/>
        <family val="2"/>
        <charset val="1"/>
      </rPr>
      <t xml:space="preserve">12</t>
    </r>
    <r>
      <rPr>
        <sz val="10"/>
        <color rgb="FF000000"/>
        <rFont val="DejaVu Sans"/>
        <family val="2"/>
      </rPr>
      <t xml:space="preserve">月</t>
    </r>
    <r>
      <rPr>
        <sz val="10"/>
        <color rgb="FF000000"/>
        <rFont val="DejaVu Sans"/>
        <family val="2"/>
        <charset val="1"/>
      </rPr>
      <t xml:space="preserve">+</t>
    </r>
  </si>
  <si>
    <t xml:space="preserve">破框提案</t>
  </si>
  <si>
    <r>
      <rPr>
        <sz val="10"/>
        <color rgb="FF000000"/>
        <rFont val="DejaVu Sans"/>
        <family val="2"/>
      </rPr>
      <t xml:space="preserve">三個大膽假設：如果我們</t>
    </r>
    <r>
      <rPr>
        <sz val="10"/>
        <color rgb="FF000000"/>
        <rFont val="DejaVu Sans"/>
        <family val="2"/>
        <charset val="1"/>
      </rPr>
      <t xml:space="preserve">...</t>
    </r>
    <r>
      <rPr>
        <sz val="10"/>
        <color rgb="FF000000"/>
        <rFont val="DejaVu Sans"/>
        <family val="2"/>
      </rPr>
      <t xml:space="preserve">會怎樣？</t>
    </r>
  </si>
  <si>
    <r>
      <rPr>
        <b val="true"/>
        <sz val="10"/>
        <color rgb="FF1E8449"/>
        <rFont val="Arial"/>
        <family val="0"/>
        <charset val="1"/>
      </rPr>
      <t xml:space="preserve">MVP</t>
    </r>
    <r>
      <rPr>
        <b val="true"/>
        <sz val="10"/>
        <color rgb="FF1E8449"/>
        <rFont val="DejaVu Sans"/>
        <family val="2"/>
      </rPr>
      <t xml:space="preserve">實驗設計</t>
    </r>
  </si>
  <si>
    <t xml:space="preserve">小成本驗證大機會，學習複利設計</t>
  </si>
  <si>
    <t xml:space="preserve">知識雷達整合</t>
  </si>
  <si>
    <t xml:space="preserve">書單、趨勢報告、過去實驗積累</t>
  </si>
  <si>
    <r>
      <rPr>
        <b val="true"/>
        <sz val="11"/>
        <color rgb="FF1E8449"/>
        <rFont val="DejaVu Sans"/>
        <family val="2"/>
      </rPr>
      <t xml:space="preserve">▌ 輸入 </t>
    </r>
    <r>
      <rPr>
        <b val="true"/>
        <sz val="11"/>
        <color rgb="FF1E8449"/>
        <rFont val="DejaVu Sans"/>
        <family val="2"/>
        <charset val="1"/>
      </rPr>
      <t xml:space="preserve">/ </t>
    </r>
    <r>
      <rPr>
        <b val="true"/>
        <sz val="11"/>
        <color rgb="FF1E8449"/>
        <rFont val="DejaVu Sans"/>
        <family val="2"/>
      </rPr>
      <t xml:space="preserve">輸出</t>
    </r>
  </si>
  <si>
    <r>
      <rPr>
        <sz val="10"/>
        <color rgb="FF000000"/>
        <rFont val="DejaVu Sans"/>
        <family val="2"/>
      </rPr>
      <t xml:space="preserve">• 掃描的領域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產業是？</t>
    </r>
  </si>
  <si>
    <t xml:space="preserve">✦ 三波機會雷達報告</t>
  </si>
  <si>
    <r>
      <rPr>
        <sz val="10"/>
        <color rgb="FF000000"/>
        <rFont val="DejaVu Sans"/>
        <family val="2"/>
      </rPr>
      <t xml:space="preserve">• 時間視野：短期機會 </t>
    </r>
    <r>
      <rPr>
        <sz val="10"/>
        <color rgb="FF000000"/>
        <rFont val="DejaVu Sans"/>
        <family val="2"/>
        <charset val="1"/>
      </rPr>
      <t xml:space="preserve">or </t>
    </r>
    <r>
      <rPr>
        <sz val="10"/>
        <color rgb="FF000000"/>
        <rFont val="DejaVu Sans"/>
        <family val="2"/>
      </rPr>
      <t xml:space="preserve">長線佈局？</t>
    </r>
  </si>
  <si>
    <r>
      <rPr>
        <sz val="10"/>
        <color rgb="FF1E8449"/>
        <rFont val="Arial"/>
        <family val="0"/>
        <charset val="1"/>
      </rPr>
      <t xml:space="preserve">✦ 3</t>
    </r>
    <r>
      <rPr>
        <sz val="10"/>
        <color rgb="FF1E8449"/>
        <rFont val="DejaVu Sans"/>
        <family val="2"/>
      </rPr>
      <t xml:space="preserve">個破框提案</t>
    </r>
  </si>
  <si>
    <r>
      <rPr>
        <sz val="10"/>
        <color rgb="FF000000"/>
        <rFont val="DejaVu Sans"/>
        <family val="2"/>
      </rPr>
      <t xml:space="preserve">• 目前 </t>
    </r>
    <r>
      <rPr>
        <sz val="10"/>
        <color rgb="FF000000"/>
        <rFont val="DejaVu Sans"/>
        <family val="2"/>
        <charset val="1"/>
      </rPr>
      <t xml:space="preserve">Magic Lab </t>
    </r>
    <r>
      <rPr>
        <sz val="10"/>
        <color rgb="FF000000"/>
        <rFont val="DejaVu Sans"/>
        <family val="2"/>
      </rPr>
      <t xml:space="preserve">最缺的是什麼？</t>
    </r>
  </si>
  <si>
    <r>
      <rPr>
        <sz val="10"/>
        <color rgb="FF1E8449"/>
        <rFont val="Arial"/>
        <family val="0"/>
        <charset val="1"/>
      </rPr>
      <t xml:space="preserve">✦ MVP</t>
    </r>
    <r>
      <rPr>
        <sz val="10"/>
        <color rgb="FF1E8449"/>
        <rFont val="DejaVu Sans"/>
        <family val="2"/>
      </rPr>
      <t xml:space="preserve">實驗設計書</t>
    </r>
  </si>
  <si>
    <r>
      <rPr>
        <b val="true"/>
        <sz val="11"/>
        <color rgb="FF1E8449"/>
        <rFont val="DejaVu Sans"/>
        <family val="2"/>
      </rPr>
      <t xml:space="preserve">▌ 同儕審查意見  （複利效應 </t>
    </r>
    <r>
      <rPr>
        <b val="true"/>
        <sz val="11"/>
        <color rgb="FF1E8449"/>
        <rFont val="DejaVu Sans"/>
        <family val="2"/>
        <charset val="1"/>
      </rPr>
      <t xml:space="preserve">v2.0</t>
    </r>
    <r>
      <rPr>
        <b val="true"/>
        <sz val="11"/>
        <color rgb="FF1E8449"/>
        <rFont val="DejaVu Sans"/>
        <family val="2"/>
      </rPr>
      <t xml:space="preserve">）</t>
    </r>
  </si>
  <si>
    <t xml:space="preserve">破框提案格式非常有創意，建議加入視覺化呈現</t>
  </si>
  <si>
    <r>
      <rPr>
        <sz val="10"/>
        <color rgb="FF000000"/>
        <rFont val="Arial"/>
        <family val="0"/>
        <charset val="1"/>
      </rPr>
      <t xml:space="preserve">MVP</t>
    </r>
    <r>
      <rPr>
        <sz val="10"/>
        <color rgb="FF000000"/>
        <rFont val="DejaVu Sans"/>
        <family val="2"/>
      </rPr>
      <t xml:space="preserve">設計與執行追蹤可以更緊密銜接</t>
    </r>
  </si>
  <si>
    <r>
      <rPr>
        <b val="true"/>
        <sz val="16"/>
        <color rgb="FFFFFFFF"/>
        <rFont val="Arial"/>
        <family val="0"/>
        <charset val="1"/>
      </rPr>
      <t xml:space="preserve">  Wesley  —  </t>
    </r>
    <r>
      <rPr>
        <b val="true"/>
        <sz val="16"/>
        <color rgb="FFFFFFFF"/>
        <rFont val="DejaVu Sans"/>
        <family val="2"/>
      </rPr>
      <t xml:space="preserve">首席全能工 — </t>
    </r>
    <r>
      <rPr>
        <b val="true"/>
        <sz val="16"/>
        <color rgb="FFFFFFFF"/>
        <rFont val="Arial"/>
        <family val="0"/>
        <charset val="1"/>
      </rPr>
      <t xml:space="preserve">Swiss Army</t>
    </r>
  </si>
  <si>
    <r>
      <rPr>
        <i val="true"/>
        <sz val="9"/>
        <color rgb="FFDDDDDD"/>
        <rFont val="Arial"/>
        <family val="0"/>
        <charset val="1"/>
      </rPr>
      <t xml:space="preserve">  Skill ID: wesley-swiss-army   |   </t>
    </r>
    <r>
      <rPr>
        <i val="true"/>
        <sz val="9"/>
        <color rgb="FFDDDDDD"/>
        <rFont val="DejaVu Sans"/>
        <family val="2"/>
      </rPr>
      <t xml:space="preserve">版本</t>
    </r>
    <r>
      <rPr>
        <i val="true"/>
        <sz val="9"/>
        <color rgb="FFDDDDDD"/>
        <rFont val="Arial"/>
        <family val="0"/>
        <charset val="1"/>
      </rPr>
      <t xml:space="preserve">: v2.0   |   </t>
    </r>
    <r>
      <rPr>
        <i val="true"/>
        <sz val="9"/>
        <color rgb="FFDDDDDD"/>
        <rFont val="DejaVu Sans"/>
        <family val="2"/>
      </rPr>
      <t xml:space="preserve">複利</t>
    </r>
    <r>
      <rPr>
        <i val="true"/>
        <sz val="9"/>
        <color rgb="FFDDDDDD"/>
        <rFont val="Arial"/>
        <family val="0"/>
        <charset val="1"/>
      </rPr>
      <t xml:space="preserve">DNA: </t>
    </r>
    <r>
      <rPr>
        <i val="true"/>
        <sz val="9"/>
        <color rgb="FFDDDDDD"/>
        <rFont val="DejaVu Sans"/>
        <family val="2"/>
      </rPr>
      <t xml:space="preserve">六大模式系統 </t>
    </r>
    <r>
      <rPr>
        <i val="true"/>
        <sz val="9"/>
        <color rgb="FFDDDDDD"/>
        <rFont val="Arial"/>
        <family val="0"/>
        <charset val="1"/>
      </rPr>
      <t xml:space="preserve">+ </t>
    </r>
    <r>
      <rPr>
        <i val="true"/>
        <sz val="9"/>
        <color rgb="FFDDDDDD"/>
        <rFont val="DejaVu Sans"/>
        <family val="2"/>
      </rPr>
      <t xml:space="preserve">每次解決問題都累積可複用能力資產</t>
    </r>
  </si>
  <si>
    <r>
      <rPr>
        <sz val="10"/>
        <color rgb="FF000000"/>
        <rFont val="DejaVu Sans"/>
        <family val="2"/>
      </rPr>
      <t xml:space="preserve">「</t>
    </r>
    <r>
      <rPr>
        <sz val="10"/>
        <color rgb="FF000000"/>
        <rFont val="DejaVu Sans"/>
        <family val="2"/>
        <charset val="1"/>
      </rPr>
      <t xml:space="preserve">Wesley </t>
    </r>
    <r>
      <rPr>
        <sz val="10"/>
        <color rgb="FF000000"/>
        <rFont val="DejaVu Sans"/>
        <family val="2"/>
      </rPr>
      <t xml:space="preserve">幫我」、「緊急」、「測試」、「複利回顧」、「全能模式」</t>
    </r>
  </si>
  <si>
    <r>
      <rPr>
        <b val="true"/>
        <sz val="10"/>
        <color rgb="FF6C3483"/>
        <rFont val="DejaVu Sans"/>
        <family val="2"/>
      </rPr>
      <t xml:space="preserve">模式</t>
    </r>
    <r>
      <rPr>
        <b val="true"/>
        <sz val="10"/>
        <color rgb="FF6C3483"/>
        <rFont val="DejaVu Sans"/>
        <family val="2"/>
        <charset val="1"/>
      </rPr>
      <t xml:space="preserve">1</t>
    </r>
    <r>
      <rPr>
        <b val="true"/>
        <sz val="10"/>
        <color rgb="FF6C3483"/>
        <rFont val="DejaVu Sans"/>
        <family val="2"/>
      </rPr>
      <t xml:space="preserve">：測試設計</t>
    </r>
  </si>
  <si>
    <r>
      <rPr>
        <sz val="10"/>
        <color rgb="FF000000"/>
        <rFont val="Arial"/>
        <family val="0"/>
        <charset val="1"/>
      </rPr>
      <t xml:space="preserve">Happy Path / Edge Case / Error Case + pytest/Jest</t>
    </r>
    <r>
      <rPr>
        <sz val="10"/>
        <color rgb="FF000000"/>
        <rFont val="DejaVu Sans"/>
        <family val="2"/>
      </rPr>
      <t xml:space="preserve">模板</t>
    </r>
  </si>
  <si>
    <r>
      <rPr>
        <b val="true"/>
        <sz val="10"/>
        <color rgb="FF6C3483"/>
        <rFont val="DejaVu Sans"/>
        <family val="2"/>
      </rPr>
      <t xml:space="preserve">模式</t>
    </r>
    <r>
      <rPr>
        <b val="true"/>
        <sz val="10"/>
        <color rgb="FF6C3483"/>
        <rFont val="DejaVu Sans"/>
        <family val="2"/>
        <charset val="1"/>
      </rPr>
      <t xml:space="preserve">2</t>
    </r>
    <r>
      <rPr>
        <b val="true"/>
        <sz val="10"/>
        <color rgb="FF6C3483"/>
        <rFont val="DejaVu Sans"/>
        <family val="2"/>
      </rPr>
      <t xml:space="preserve">：創意支援</t>
    </r>
  </si>
  <si>
    <t xml:space="preserve">挑戰假設、技術可行性、快速原型建議</t>
  </si>
  <si>
    <r>
      <rPr>
        <b val="true"/>
        <sz val="10"/>
        <color rgb="FF6C3483"/>
        <rFont val="DejaVu Sans"/>
        <family val="2"/>
      </rPr>
      <t xml:space="preserve">模式</t>
    </r>
    <r>
      <rPr>
        <b val="true"/>
        <sz val="10"/>
        <color rgb="FF6C3483"/>
        <rFont val="DejaVu Sans"/>
        <family val="2"/>
        <charset val="1"/>
      </rPr>
      <t xml:space="preserve">3</t>
    </r>
    <r>
      <rPr>
        <b val="true"/>
        <sz val="10"/>
        <color rgb="FF6C3483"/>
        <rFont val="DejaVu Sans"/>
        <family val="2"/>
      </rPr>
      <t xml:space="preserve">：快速產出</t>
    </r>
  </si>
  <si>
    <r>
      <rPr>
        <sz val="10"/>
        <color rgb="FF000000"/>
        <rFont val="Arial"/>
        <family val="0"/>
        <charset val="1"/>
      </rPr>
      <t xml:space="preserve">80</t>
    </r>
    <r>
      <rPr>
        <sz val="10"/>
        <color rgb="FF000000"/>
        <rFont val="DejaVu Sans"/>
        <family val="2"/>
      </rPr>
      <t xml:space="preserve">分快速版 </t>
    </r>
    <r>
      <rPr>
        <sz val="10"/>
        <color rgb="FF000000"/>
        <rFont val="Arial"/>
        <family val="0"/>
        <charset val="1"/>
      </rPr>
      <t xml:space="preserve">&gt; 100</t>
    </r>
    <r>
      <rPr>
        <sz val="10"/>
        <color rgb="FF000000"/>
        <rFont val="DejaVu Sans"/>
        <family val="2"/>
      </rPr>
      <t xml:space="preserve">分遲到版，模板與腳手架</t>
    </r>
  </si>
  <si>
    <r>
      <rPr>
        <b val="true"/>
        <sz val="10"/>
        <color rgb="FF6C3483"/>
        <rFont val="DejaVu Sans"/>
        <family val="2"/>
      </rPr>
      <t xml:space="preserve">模式</t>
    </r>
    <r>
      <rPr>
        <b val="true"/>
        <sz val="10"/>
        <color rgb="FF6C3483"/>
        <rFont val="DejaVu Sans"/>
        <family val="2"/>
        <charset val="1"/>
      </rPr>
      <t xml:space="preserve">4</t>
    </r>
    <r>
      <rPr>
        <b val="true"/>
        <sz val="10"/>
        <color rgb="FF6C3483"/>
        <rFont val="DejaVu Sans"/>
        <family val="2"/>
      </rPr>
      <t xml:space="preserve">：緊急救援</t>
    </r>
  </si>
  <si>
    <t xml:space="preserve">止血→診斷→修復→預防→複利修復五步驟</t>
  </si>
  <si>
    <r>
      <rPr>
        <b val="true"/>
        <sz val="10"/>
        <color rgb="FF6C3483"/>
        <rFont val="DejaVu Sans"/>
        <family val="2"/>
      </rPr>
      <t xml:space="preserve">模式</t>
    </r>
    <r>
      <rPr>
        <b val="true"/>
        <sz val="10"/>
        <color rgb="FF6C3483"/>
        <rFont val="DejaVu Sans"/>
        <family val="2"/>
        <charset val="1"/>
      </rPr>
      <t xml:space="preserve">5</t>
    </r>
    <r>
      <rPr>
        <b val="true"/>
        <sz val="10"/>
        <color rgb="FF6C3483"/>
        <rFont val="DejaVu Sans"/>
        <family val="2"/>
      </rPr>
      <t xml:space="preserve">：團隊協調</t>
    </r>
  </si>
  <si>
    <t xml:space="preserve">交接確認清單、格式標準化、瓶頸消除</t>
  </si>
  <si>
    <r>
      <rPr>
        <b val="true"/>
        <sz val="10"/>
        <color rgb="FF6C3483"/>
        <rFont val="DejaVu Sans"/>
        <family val="2"/>
      </rPr>
      <t xml:space="preserve">模式</t>
    </r>
    <r>
      <rPr>
        <b val="true"/>
        <sz val="10"/>
        <color rgb="FF6C3483"/>
        <rFont val="DejaVu Sans"/>
        <family val="2"/>
        <charset val="1"/>
      </rPr>
      <t xml:space="preserve">6</t>
    </r>
    <r>
      <rPr>
        <b val="true"/>
        <sz val="10"/>
        <color rgb="FF6C3483"/>
        <rFont val="DejaVu Sans"/>
        <family val="2"/>
      </rPr>
      <t xml:space="preserve">：複利回顧</t>
    </r>
  </si>
  <si>
    <t xml:space="preserve">週報、習慣追蹤、系統優化、四大自由進度</t>
  </si>
  <si>
    <r>
      <rPr>
        <b val="true"/>
        <sz val="11"/>
        <color rgb="FF6C3483"/>
        <rFont val="DejaVu Sans"/>
        <family val="2"/>
      </rPr>
      <t xml:space="preserve">▌ 輸入 </t>
    </r>
    <r>
      <rPr>
        <b val="true"/>
        <sz val="11"/>
        <color rgb="FF6C3483"/>
        <rFont val="DejaVu Sans"/>
        <family val="2"/>
        <charset val="1"/>
      </rPr>
      <t xml:space="preserve">/ </t>
    </r>
    <r>
      <rPr>
        <b val="true"/>
        <sz val="11"/>
        <color rgb="FF6C3483"/>
        <rFont val="DejaVu Sans"/>
        <family val="2"/>
      </rPr>
      <t xml:space="preserve">輸出</t>
    </r>
  </si>
  <si>
    <t xml:space="preserve">• 現在最緊急的問題是什麼？</t>
  </si>
  <si>
    <t xml:space="preserve">✦ 問題解決方案（對應模式）</t>
  </si>
  <si>
    <r>
      <rPr>
        <sz val="10"/>
        <color rgb="FF000000"/>
        <rFont val="DejaVu Sans"/>
        <family val="2"/>
      </rPr>
      <t xml:space="preserve">• 希望使用哪個模式？（或讓 </t>
    </r>
    <r>
      <rPr>
        <sz val="10"/>
        <color rgb="FF000000"/>
        <rFont val="DejaVu Sans"/>
        <family val="2"/>
        <charset val="1"/>
      </rPr>
      <t xml:space="preserve">Wesley </t>
    </r>
    <r>
      <rPr>
        <sz val="10"/>
        <color rgb="FF000000"/>
        <rFont val="DejaVu Sans"/>
        <family val="2"/>
      </rPr>
      <t xml:space="preserve">自判）</t>
    </r>
  </si>
  <si>
    <t xml:space="preserve">✦ 可複用模板或腳本</t>
  </si>
  <si>
    <t xml:space="preserve">• 這個問題解決後，希望建立什麼長期系統？</t>
  </si>
  <si>
    <r>
      <rPr>
        <sz val="10"/>
        <color rgb="FF1E8449"/>
        <rFont val="DejaVu Sans"/>
        <family val="2"/>
      </rPr>
      <t xml:space="preserve">✦ 複利健檢報告（模式</t>
    </r>
    <r>
      <rPr>
        <sz val="10"/>
        <color rgb="FF1E8449"/>
        <rFont val="DejaVu Sans"/>
        <family val="2"/>
        <charset val="1"/>
      </rPr>
      <t xml:space="preserve">6</t>
    </r>
    <r>
      <rPr>
        <sz val="10"/>
        <color rgb="FF1E8449"/>
        <rFont val="DejaVu Sans"/>
        <family val="2"/>
      </rPr>
      <t xml:space="preserve">）</t>
    </r>
  </si>
  <si>
    <r>
      <rPr>
        <b val="true"/>
        <sz val="11"/>
        <color rgb="FF6C3483"/>
        <rFont val="DejaVu Sans"/>
        <family val="2"/>
      </rPr>
      <t xml:space="preserve">▌ 同儕審查意見  （複利效應 </t>
    </r>
    <r>
      <rPr>
        <b val="true"/>
        <sz val="11"/>
        <color rgb="FF6C3483"/>
        <rFont val="DejaVu Sans"/>
        <family val="2"/>
        <charset val="1"/>
      </rPr>
      <t xml:space="preserve">v2.0</t>
    </r>
    <r>
      <rPr>
        <b val="true"/>
        <sz val="11"/>
        <color rgb="FF6C3483"/>
        <rFont val="DejaVu Sans"/>
        <family val="2"/>
      </rPr>
      <t xml:space="preserve">）</t>
    </r>
  </si>
  <si>
    <t xml:space="preserve">六大模式覆蓋全面，緊急救援五步驟非常實用</t>
  </si>
  <si>
    <t xml:space="preserve">複利回顧模式與里程碑追蹤可以串連，建議互相引用</t>
  </si>
  <si>
    <r>
      <rPr>
        <sz val="10"/>
        <color rgb="FF000000"/>
        <rFont val="DejaVu Sans"/>
        <family val="2"/>
      </rPr>
      <t xml:space="preserve">建議模式</t>
    </r>
    <r>
      <rPr>
        <sz val="10"/>
        <color rgb="FF000000"/>
        <rFont val="DejaVu Sans"/>
        <family val="2"/>
        <charset val="1"/>
      </rPr>
      <t xml:space="preserve">6</t>
    </r>
    <r>
      <rPr>
        <sz val="10"/>
        <color rgb="FF000000"/>
        <rFont val="DejaVu Sans"/>
        <family val="2"/>
      </rPr>
      <t xml:space="preserve">加入「下一季創新機會」掃描，與</t>
    </r>
    <r>
      <rPr>
        <sz val="10"/>
        <color rgb="FF000000"/>
        <rFont val="DejaVu Sans"/>
        <family val="2"/>
        <charset val="1"/>
      </rPr>
      <t xml:space="preserve">Wayne</t>
    </r>
    <r>
      <rPr>
        <sz val="10"/>
        <color rgb="FF000000"/>
        <rFont val="DejaVu Sans"/>
        <family val="2"/>
      </rPr>
      <t xml:space="preserve">雷達銜接</t>
    </r>
  </si>
  <si>
    <r>
      <rPr>
        <b val="true"/>
        <sz val="15"/>
        <color rgb="FFFFFFFF"/>
        <rFont val="DejaVu Sans"/>
        <family val="2"/>
      </rPr>
      <t xml:space="preserve">《複利效應》核心框架 </t>
    </r>
    <r>
      <rPr>
        <b val="true"/>
        <sz val="15"/>
        <color rgb="FFFFFFFF"/>
        <rFont val="DejaVu Sans"/>
        <family val="2"/>
        <charset val="1"/>
      </rPr>
      <t xml:space="preserve">× Magic Lab </t>
    </r>
    <r>
      <rPr>
        <b val="true"/>
        <sz val="15"/>
        <color rgb="FFFFFFFF"/>
        <rFont val="DejaVu Sans"/>
        <family val="2"/>
      </rPr>
      <t xml:space="preserve">四人應用矩陣</t>
    </r>
  </si>
  <si>
    <r>
      <rPr>
        <i val="true"/>
        <sz val="11"/>
        <color rgb="FFBBBBBB"/>
        <rFont val="DejaVu Sans"/>
        <family val="2"/>
      </rPr>
      <t xml:space="preserve">核心公式：小選擇 </t>
    </r>
    <r>
      <rPr>
        <i val="true"/>
        <sz val="11"/>
        <color rgb="FFBBBBBB"/>
        <rFont val="DejaVu Sans"/>
        <family val="2"/>
        <charset val="1"/>
      </rPr>
      <t xml:space="preserve">× </t>
    </r>
    <r>
      <rPr>
        <i val="true"/>
        <sz val="11"/>
        <color rgb="FFBBBBBB"/>
        <rFont val="DejaVu Sans"/>
        <family val="2"/>
      </rPr>
      <t xml:space="preserve">持續性 </t>
    </r>
    <r>
      <rPr>
        <i val="true"/>
        <sz val="11"/>
        <color rgb="FFBBBBBB"/>
        <rFont val="DejaVu Sans"/>
        <family val="2"/>
        <charset val="1"/>
      </rPr>
      <t xml:space="preserve">× </t>
    </r>
    <r>
      <rPr>
        <i val="true"/>
        <sz val="11"/>
        <color rgb="FFBBBBBB"/>
        <rFont val="DejaVu Sans"/>
        <family val="2"/>
      </rPr>
      <t xml:space="preserve">時間 </t>
    </r>
    <r>
      <rPr>
        <i val="true"/>
        <sz val="11"/>
        <color rgb="FFBBBBBB"/>
        <rFont val="DejaVu Sans"/>
        <family val="2"/>
        <charset val="1"/>
      </rPr>
      <t xml:space="preserve">= </t>
    </r>
    <r>
      <rPr>
        <i val="true"/>
        <sz val="11"/>
        <color rgb="FFBBBBBB"/>
        <rFont val="DejaVu Sans"/>
        <family val="2"/>
      </rPr>
      <t xml:space="preserve">巨大改變  ——  </t>
    </r>
    <r>
      <rPr>
        <i val="true"/>
        <sz val="11"/>
        <color rgb="FFBBBBBB"/>
        <rFont val="DejaVu Sans"/>
        <family val="2"/>
        <charset val="1"/>
      </rPr>
      <t xml:space="preserve">Darren Hardy</t>
    </r>
  </si>
  <si>
    <t xml:space="preserve">複利原則</t>
  </si>
  <si>
    <r>
      <rPr>
        <b val="true"/>
        <sz val="9"/>
        <color rgb="FFFFFFFF"/>
        <rFont val="Arial"/>
        <family val="0"/>
        <charset val="1"/>
      </rPr>
      <t xml:space="preserve">Terry </t>
    </r>
    <r>
      <rPr>
        <b val="true"/>
        <sz val="9"/>
        <color rgb="FFFFFFFF"/>
        <rFont val="DejaVu Sans"/>
        <family val="2"/>
      </rPr>
      <t xml:space="preserve">創意應用</t>
    </r>
  </si>
  <si>
    <r>
      <rPr>
        <b val="true"/>
        <sz val="9"/>
        <color rgb="FFFFFFFF"/>
        <rFont val="Arial"/>
        <family val="0"/>
        <charset val="1"/>
      </rPr>
      <t xml:space="preserve">Miles </t>
    </r>
    <r>
      <rPr>
        <b val="true"/>
        <sz val="9"/>
        <color rgb="FFFFFFFF"/>
        <rFont val="DejaVu Sans"/>
        <family val="2"/>
      </rPr>
      <t xml:space="preserve">執行應用</t>
    </r>
  </si>
  <si>
    <r>
      <rPr>
        <b val="true"/>
        <sz val="9"/>
        <color rgb="FFFFFFFF"/>
        <rFont val="Arial"/>
        <family val="0"/>
        <charset val="1"/>
      </rPr>
      <t xml:space="preserve">Wayne </t>
    </r>
    <r>
      <rPr>
        <b val="true"/>
        <sz val="9"/>
        <color rgb="FFFFFFFF"/>
        <rFont val="DejaVu Sans"/>
        <family val="2"/>
      </rPr>
      <t xml:space="preserve">創新應用</t>
    </r>
  </si>
  <si>
    <r>
      <rPr>
        <b val="true"/>
        <sz val="9"/>
        <color rgb="FFFFFFFF"/>
        <rFont val="Arial"/>
        <family val="0"/>
        <charset val="1"/>
      </rPr>
      <t xml:space="preserve">Wesley </t>
    </r>
    <r>
      <rPr>
        <b val="true"/>
        <sz val="9"/>
        <color rgb="FFFFFFFF"/>
        <rFont val="DejaVu Sans"/>
        <family val="2"/>
      </rPr>
      <t xml:space="preserve">全能應用</t>
    </r>
  </si>
  <si>
    <t xml:space="preserve">選擇的力量
每個小決定都在積累</t>
  </si>
  <si>
    <t xml:space="preserve">不做隨機創意
做複利創意積累品牌資產</t>
  </si>
  <si>
    <r>
      <rPr>
        <sz val="9"/>
        <color rgb="FF2471A3"/>
        <rFont val="DejaVu Sans"/>
        <family val="2"/>
      </rPr>
      <t xml:space="preserve">每個任務拆成
最小可行動作</t>
    </r>
    <r>
      <rPr>
        <sz val="9"/>
        <color rgb="FF2471A3"/>
        <rFont val="DejaVu Sans"/>
        <family val="2"/>
        <charset val="1"/>
      </rPr>
      <t xml:space="preserve">MVA</t>
    </r>
  </si>
  <si>
    <t xml:space="preserve">早期信號識別
早一步進場複利最強</t>
  </si>
  <si>
    <t xml:space="preserve">系統思維
每次解決都累積資產</t>
  </si>
  <si>
    <r>
      <rPr>
        <b val="true"/>
        <sz val="9"/>
        <color rgb="FF333333"/>
        <rFont val="DejaVu Sans"/>
        <family val="2"/>
      </rPr>
      <t xml:space="preserve">一致性 </t>
    </r>
    <r>
      <rPr>
        <b val="true"/>
        <sz val="9"/>
        <color rgb="FF333333"/>
        <rFont val="DejaVu Sans"/>
        <family val="2"/>
        <charset val="1"/>
      </rPr>
      <t xml:space="preserve">&gt; </t>
    </r>
    <r>
      <rPr>
        <b val="true"/>
        <sz val="9"/>
        <color rgb="FF333333"/>
        <rFont val="DejaVu Sans"/>
        <family val="2"/>
      </rPr>
      <t xml:space="preserve">爆發力
持續勝過間歇性努力</t>
    </r>
  </si>
  <si>
    <t xml:space="preserve">每天產出一個創意
不求完美求持續</t>
  </si>
  <si>
    <t xml:space="preserve">里程碑設計維持動量
避免習慣斷點</t>
  </si>
  <si>
    <r>
      <rPr>
        <sz val="9"/>
        <color rgb="FF1E8449"/>
        <rFont val="DejaVu Sans"/>
        <family val="2"/>
      </rPr>
      <t xml:space="preserve">每日掃描高質量信號
遠離噪音近接</t>
    </r>
    <r>
      <rPr>
        <sz val="9"/>
        <color rgb="FF1E8449"/>
        <rFont val="DejaVu Sans"/>
        <family val="2"/>
        <charset val="1"/>
      </rPr>
      <t xml:space="preserve">signal</t>
    </r>
  </si>
  <si>
    <t xml:space="preserve">建立可複用模板
讓重複工作消失</t>
  </si>
  <si>
    <r>
      <rPr>
        <b val="true"/>
        <sz val="9"/>
        <color rgb="FF333333"/>
        <rFont val="DejaVu Sans"/>
        <family val="2"/>
      </rPr>
      <t xml:space="preserve">找到你的</t>
    </r>
    <r>
      <rPr>
        <b val="true"/>
        <sz val="9"/>
        <color rgb="FF333333"/>
        <rFont val="DejaVu Sans"/>
        <family val="2"/>
        <charset val="1"/>
      </rPr>
      <t xml:space="preserve">Why
</t>
    </r>
    <r>
      <rPr>
        <b val="true"/>
        <sz val="9"/>
        <color rgb="FF333333"/>
        <rFont val="DejaVu Sans"/>
        <family val="2"/>
      </rPr>
      <t xml:space="preserve">動機決定持續力</t>
    </r>
  </si>
  <si>
    <r>
      <rPr>
        <sz val="9"/>
        <color rgb="FFC0392B"/>
        <rFont val="DejaVu Sans"/>
        <family val="2"/>
      </rPr>
      <t xml:space="preserve">創意連結四大自由目標
工作</t>
    </r>
    <r>
      <rPr>
        <sz val="9"/>
        <color rgb="FFC0392B"/>
        <rFont val="DejaVu Sans"/>
        <family val="2"/>
        <charset val="1"/>
      </rPr>
      <t xml:space="preserve">/</t>
    </r>
    <r>
      <rPr>
        <sz val="9"/>
        <color rgb="FFC0392B"/>
        <rFont val="DejaVu Sans"/>
        <family val="2"/>
      </rPr>
      <t xml:space="preserve">財富</t>
    </r>
    <r>
      <rPr>
        <sz val="9"/>
        <color rgb="FFC0392B"/>
        <rFont val="DejaVu Sans"/>
        <family val="2"/>
        <charset val="1"/>
      </rPr>
      <t xml:space="preserve">/</t>
    </r>
    <r>
      <rPr>
        <sz val="9"/>
        <color rgb="FFC0392B"/>
        <rFont val="DejaVu Sans"/>
        <family val="2"/>
      </rPr>
      <t xml:space="preserve">生活</t>
    </r>
    <r>
      <rPr>
        <sz val="9"/>
        <color rgb="FFC0392B"/>
        <rFont val="DejaVu Sans"/>
        <family val="2"/>
        <charset val="1"/>
      </rPr>
      <t xml:space="preserve">/</t>
    </r>
    <r>
      <rPr>
        <sz val="9"/>
        <color rgb="FFC0392B"/>
        <rFont val="DejaVu Sans"/>
        <family val="2"/>
      </rPr>
      <t xml:space="preserve">人生</t>
    </r>
  </si>
  <si>
    <r>
      <rPr>
        <sz val="9"/>
        <color rgb="FF2471A3"/>
        <rFont val="Arial"/>
        <family val="0"/>
        <charset val="1"/>
      </rPr>
      <t xml:space="preserve">SMART</t>
    </r>
    <r>
      <rPr>
        <sz val="9"/>
        <color rgb="FF2471A3"/>
        <rFont val="DejaVu Sans"/>
        <family val="2"/>
      </rPr>
      <t xml:space="preserve">目標設計
連結個人意義</t>
    </r>
  </si>
  <si>
    <r>
      <rPr>
        <sz val="9"/>
        <color rgb="FF1E8449"/>
        <rFont val="DejaVu Sans"/>
        <family val="2"/>
      </rPr>
      <t xml:space="preserve">每個提案連結</t>
    </r>
    <r>
      <rPr>
        <sz val="9"/>
        <color rgb="FF1E8449"/>
        <rFont val="DejaVu Sans"/>
        <family val="2"/>
        <charset val="1"/>
      </rPr>
      <t xml:space="preserve">JW</t>
    </r>
    <r>
      <rPr>
        <sz val="9"/>
        <color rgb="FF1E8449"/>
        <rFont val="DejaVu Sans"/>
        <family val="2"/>
      </rPr>
      <t xml:space="preserve">目標
避免為創新而創新</t>
    </r>
  </si>
  <si>
    <t xml:space="preserve">問題解決後建立系統
不只解決症狀</t>
  </si>
  <si>
    <r>
      <rPr>
        <b val="true"/>
        <sz val="9"/>
        <color rgb="FF333333"/>
        <rFont val="DejaVu Sans"/>
        <family val="2"/>
      </rPr>
      <t xml:space="preserve">環境與圈子
你身邊</t>
    </r>
    <r>
      <rPr>
        <b val="true"/>
        <sz val="9"/>
        <color rgb="FF333333"/>
        <rFont val="DejaVu Sans"/>
        <family val="2"/>
        <charset val="1"/>
      </rPr>
      <t xml:space="preserve">95%</t>
    </r>
    <r>
      <rPr>
        <b val="true"/>
        <sz val="9"/>
        <color rgb="FF333333"/>
        <rFont val="DejaVu Sans"/>
        <family val="2"/>
      </rPr>
      <t xml:space="preserve">決定成敗</t>
    </r>
  </si>
  <si>
    <t xml:space="preserve">用對的創意圈子
讓好創意自然發生</t>
  </si>
  <si>
    <t xml:space="preserve">建立外部責任機制
讓承諾成為複利燃料</t>
  </si>
  <si>
    <t xml:space="preserve">篩選高能量信息圈
遠離市場噪音</t>
  </si>
  <si>
    <t xml:space="preserve">團隊協調模式
讓四人複利相乘</t>
  </si>
  <si>
    <t xml:space="preserve">動量管理
啟動最難動起來要保持</t>
  </si>
  <si>
    <t xml:space="preserve">今日最小創意行動
不需完美的開始</t>
  </si>
  <si>
    <r>
      <rPr>
        <sz val="9"/>
        <color rgb="FF2471A3"/>
        <rFont val="DejaVu Sans"/>
        <family val="2"/>
      </rPr>
      <t xml:space="preserve">啟動</t>
    </r>
    <r>
      <rPr>
        <sz val="9"/>
        <color rgb="FF2471A3"/>
        <rFont val="DejaVu Sans"/>
        <family val="2"/>
        <charset val="1"/>
      </rPr>
      <t xml:space="preserve">7</t>
    </r>
    <r>
      <rPr>
        <sz val="9"/>
        <color rgb="FF2471A3"/>
        <rFont val="DejaVu Sans"/>
        <family val="2"/>
      </rPr>
      <t xml:space="preserve">天加速</t>
    </r>
    <r>
      <rPr>
        <sz val="9"/>
        <color rgb="FF2471A3"/>
        <rFont val="DejaVu Sans"/>
        <family val="2"/>
        <charset val="1"/>
      </rPr>
      <t xml:space="preserve">30</t>
    </r>
    <r>
      <rPr>
        <sz val="9"/>
        <color rgb="FF2471A3"/>
        <rFont val="DejaVu Sans"/>
        <family val="2"/>
      </rPr>
      <t xml:space="preserve">天
複利</t>
    </r>
    <r>
      <rPr>
        <sz val="9"/>
        <color rgb="FF2471A3"/>
        <rFont val="DejaVu Sans"/>
        <family val="2"/>
        <charset val="1"/>
      </rPr>
      <t xml:space="preserve">90</t>
    </r>
    <r>
      <rPr>
        <sz val="9"/>
        <color rgb="FF2471A3"/>
        <rFont val="DejaVu Sans"/>
        <family val="2"/>
      </rPr>
      <t xml:space="preserve">天收穫期</t>
    </r>
  </si>
  <si>
    <r>
      <rPr>
        <sz val="9"/>
        <color rgb="FF1E8449"/>
        <rFont val="Arial"/>
        <family val="0"/>
        <charset val="1"/>
      </rPr>
      <t xml:space="preserve">MVP</t>
    </r>
    <r>
      <rPr>
        <sz val="9"/>
        <color rgb="FF1E8449"/>
        <rFont val="DejaVu Sans"/>
        <family val="2"/>
      </rPr>
      <t xml:space="preserve">小實驗快驗證
失敗成本低學習複利高</t>
    </r>
  </si>
  <si>
    <t xml:space="preserve">緊急救援五步驟
防止複利中斷</t>
  </si>
  <si>
    <r>
      <rPr>
        <b val="true"/>
        <i val="true"/>
        <sz val="10"/>
        <color rgb="FFB7950B"/>
        <rFont val="Arial"/>
        <family val="0"/>
        <charset val="1"/>
      </rPr>
      <t xml:space="preserve">Magic Lab </t>
    </r>
    <r>
      <rPr>
        <b val="true"/>
        <i val="true"/>
        <sz val="10"/>
        <color rgb="FFB7950B"/>
        <rFont val="DejaVu Sans"/>
        <family val="2"/>
      </rPr>
      <t xml:space="preserve">誓言：「不要追求一夜致富，要建立一個每天都在為你工作的投資複利系統。」</t>
    </r>
  </si>
  <si>
    <r>
      <rPr>
        <b val="true"/>
        <sz val="15"/>
        <color rgb="FFFFFFFF"/>
        <rFont val="Arial"/>
        <family val="0"/>
        <charset val="1"/>
      </rPr>
      <t xml:space="preserve">Magic Lab  </t>
    </r>
    <r>
      <rPr>
        <b val="true"/>
        <sz val="15"/>
        <color rgb="FFFFFFFF"/>
        <rFont val="DejaVu Sans"/>
        <family val="2"/>
      </rPr>
      <t xml:space="preserve">複利計算模型</t>
    </r>
  </si>
  <si>
    <r>
      <rPr>
        <b val="true"/>
        <sz val="11"/>
        <color rgb="FFFFFFFF"/>
        <rFont val="DejaVu Sans"/>
        <family val="2"/>
      </rPr>
      <t xml:space="preserve">投入本金 </t>
    </r>
    <r>
      <rPr>
        <b val="true"/>
        <sz val="11"/>
        <color rgb="FFFFFFFF"/>
        <rFont val="Arial"/>
        <family val="0"/>
        <charset val="1"/>
      </rPr>
      <t xml:space="preserve">× </t>
    </r>
    <r>
      <rPr>
        <b val="true"/>
        <sz val="11"/>
        <color rgb="FFFFFFFF"/>
        <rFont val="DejaVu Sans"/>
        <family val="2"/>
      </rPr>
      <t xml:space="preserve">年化報酬 </t>
    </r>
    <r>
      <rPr>
        <b val="true"/>
        <sz val="11"/>
        <color rgb="FFFFFFFF"/>
        <rFont val="Arial"/>
        <family val="0"/>
        <charset val="1"/>
      </rPr>
      <t xml:space="preserve">× </t>
    </r>
    <r>
      <rPr>
        <b val="true"/>
        <sz val="11"/>
        <color rgb="FFFFFFFF"/>
        <rFont val="DejaVu Sans"/>
        <family val="2"/>
      </rPr>
      <t xml:space="preserve">時間 </t>
    </r>
    <r>
      <rPr>
        <b val="true"/>
        <sz val="11"/>
        <color rgb="FFFFFFFF"/>
        <rFont val="Arial"/>
        <family val="0"/>
        <charset val="1"/>
      </rPr>
      <t xml:space="preserve">= </t>
    </r>
    <r>
      <rPr>
        <b val="true"/>
        <sz val="11"/>
        <color rgb="FFFFFFFF"/>
        <rFont val="DejaVu Sans"/>
        <family val="2"/>
      </rPr>
      <t xml:space="preserve">財富自由複利曲線</t>
    </r>
  </si>
  <si>
    <t xml:space="preserve">▌ 輸入假設（藍色欄位請修改）</t>
  </si>
  <si>
    <t xml:space="preserve">初始本金（元）</t>
  </si>
  <si>
    <t xml:space="preserve">每月定期定額（元）</t>
  </si>
  <si>
    <r>
      <rPr>
        <b val="true"/>
        <sz val="10"/>
        <color rgb="FF000000"/>
        <rFont val="DejaVu Sans"/>
        <family val="2"/>
      </rPr>
      <t xml:space="preserve">年化報酬率（</t>
    </r>
    <r>
      <rPr>
        <b val="true"/>
        <sz val="10"/>
        <color rgb="FF000000"/>
        <rFont val="Arial"/>
        <family val="0"/>
        <charset val="1"/>
      </rPr>
      <t xml:space="preserve">%</t>
    </r>
    <r>
      <rPr>
        <b val="true"/>
        <sz val="10"/>
        <color rgb="FF000000"/>
        <rFont val="DejaVu Sans"/>
        <family val="2"/>
      </rPr>
      <t xml:space="preserve">）</t>
    </r>
  </si>
  <si>
    <t xml:space="preserve">投資年數</t>
  </si>
  <si>
    <r>
      <rPr>
        <b val="true"/>
        <sz val="10"/>
        <color rgb="FF000000"/>
        <rFont val="DejaVu Sans"/>
        <family val="2"/>
      </rPr>
      <t xml:space="preserve">通膨率（</t>
    </r>
    <r>
      <rPr>
        <b val="true"/>
        <sz val="10"/>
        <color rgb="FF000000"/>
        <rFont val="Arial"/>
        <family val="0"/>
        <charset val="1"/>
      </rPr>
      <t xml:space="preserve">%</t>
    </r>
    <r>
      <rPr>
        <b val="true"/>
        <sz val="10"/>
        <color rgb="FF000000"/>
        <rFont val="DejaVu Sans"/>
        <family val="2"/>
      </rPr>
      <t xml:space="preserve">）</t>
    </r>
  </si>
  <si>
    <r>
      <rPr>
        <b val="true"/>
        <sz val="10"/>
        <color rgb="FF000000"/>
        <rFont val="DejaVu Sans"/>
        <family val="2"/>
      </rPr>
      <t xml:space="preserve">稅後調整率（</t>
    </r>
    <r>
      <rPr>
        <b val="true"/>
        <sz val="10"/>
        <color rgb="FF000000"/>
        <rFont val="Arial"/>
        <family val="0"/>
        <charset val="1"/>
      </rPr>
      <t xml:space="preserve">%</t>
    </r>
    <r>
      <rPr>
        <b val="true"/>
        <sz val="10"/>
        <color rgb="FF000000"/>
        <rFont val="DejaVu Sans"/>
        <family val="2"/>
      </rPr>
      <t xml:space="preserve">）</t>
    </r>
  </si>
  <si>
    <t xml:space="preserve">▌ 複利成長預測表（年度）</t>
  </si>
  <si>
    <t xml:space="preserve">年度</t>
  </si>
  <si>
    <t xml:space="preserve">期初資產</t>
  </si>
  <si>
    <t xml:space="preserve">年度投入</t>
  </si>
  <si>
    <t xml:space="preserve">複利收益</t>
  </si>
  <si>
    <t xml:space="preserve">期末資產</t>
  </si>
  <si>
    <t xml:space="preserve">實質購買力</t>
  </si>
  <si>
    <t xml:space="preserve">▌ 關鍵複利成果</t>
  </si>
  <si>
    <t xml:space="preserve">總投入本金</t>
  </si>
  <si>
    <r>
      <rPr>
        <b val="true"/>
        <sz val="10"/>
        <color rgb="FFFFFFFF"/>
        <rFont val="Arial"/>
        <family val="0"/>
        <charset val="1"/>
      </rPr>
      <t xml:space="preserve">20</t>
    </r>
    <r>
      <rPr>
        <b val="true"/>
        <sz val="10"/>
        <color rgb="FFFFFFFF"/>
        <rFont val="DejaVu Sans"/>
        <family val="2"/>
      </rPr>
      <t xml:space="preserve">年期末資產</t>
    </r>
  </si>
  <si>
    <t xml:space="preserve">純複利收益</t>
  </si>
  <si>
    <t xml:space="preserve">資產成長倍數</t>
  </si>
  <si>
    <r>
      <rPr>
        <b val="true"/>
        <sz val="14"/>
        <color rgb="FFFFFFFF"/>
        <rFont val="Arial"/>
        <family val="0"/>
        <charset val="1"/>
      </rPr>
      <t xml:space="preserve">Magic Lab  </t>
    </r>
    <r>
      <rPr>
        <b val="true"/>
        <sz val="14"/>
        <color rgb="FFFFFFFF"/>
        <rFont val="DejaVu Sans"/>
        <family val="2"/>
      </rPr>
      <t xml:space="preserve">四人工作追蹤 </t>
    </r>
    <r>
      <rPr>
        <b val="true"/>
        <sz val="14"/>
        <color rgb="FFFFFFFF"/>
        <rFont val="Arial"/>
        <family val="0"/>
        <charset val="1"/>
      </rPr>
      <t xml:space="preserve">× </t>
    </r>
    <r>
      <rPr>
        <b val="true"/>
        <sz val="14"/>
        <color rgb="FFFFFFFF"/>
        <rFont val="DejaVu Sans"/>
        <family val="2"/>
      </rPr>
      <t xml:space="preserve">複利積分模型</t>
    </r>
  </si>
  <si>
    <r>
      <rPr>
        <b val="true"/>
        <sz val="10"/>
        <color rgb="FFFFFFFF"/>
        <rFont val="DejaVu Sans"/>
        <family val="2"/>
      </rPr>
      <t xml:space="preserve">每次完成任務 </t>
    </r>
    <r>
      <rPr>
        <b val="true"/>
        <sz val="10"/>
        <color rgb="FFFFFFFF"/>
        <rFont val="Arial"/>
        <family val="0"/>
        <charset val="1"/>
      </rPr>
      <t xml:space="preserve">= </t>
    </r>
    <r>
      <rPr>
        <b val="true"/>
        <sz val="10"/>
        <color rgb="FFFFFFFF"/>
        <rFont val="DejaVu Sans"/>
        <family val="2"/>
      </rPr>
      <t xml:space="preserve">一次複利積累 </t>
    </r>
    <r>
      <rPr>
        <b val="true"/>
        <sz val="10"/>
        <color rgb="FFFFFFFF"/>
        <rFont val="Arial"/>
        <family val="0"/>
        <charset val="1"/>
      </rPr>
      <t xml:space="preserve">| </t>
    </r>
    <r>
      <rPr>
        <b val="true"/>
        <sz val="10"/>
        <color rgb="FFFFFFFF"/>
        <rFont val="DejaVu Sans"/>
        <family val="2"/>
      </rPr>
      <t xml:space="preserve">持續性 </t>
    </r>
    <r>
      <rPr>
        <b val="true"/>
        <sz val="10"/>
        <color rgb="FFFFFFFF"/>
        <rFont val="Arial"/>
        <family val="0"/>
        <charset val="1"/>
      </rPr>
      <t xml:space="preserve">× </t>
    </r>
    <r>
      <rPr>
        <b val="true"/>
        <sz val="10"/>
        <color rgb="FFFFFFFF"/>
        <rFont val="DejaVu Sans"/>
        <family val="2"/>
      </rPr>
      <t xml:space="preserve">品質 </t>
    </r>
    <r>
      <rPr>
        <b val="true"/>
        <sz val="10"/>
        <color rgb="FFFFFFFF"/>
        <rFont val="Arial"/>
        <family val="0"/>
        <charset val="1"/>
      </rPr>
      <t xml:space="preserve">= </t>
    </r>
    <r>
      <rPr>
        <b val="true"/>
        <sz val="10"/>
        <color rgb="FFFFFFFF"/>
        <rFont val="DejaVu Sans"/>
        <family val="2"/>
      </rPr>
      <t xml:space="preserve">成長複利</t>
    </r>
  </si>
  <si>
    <r>
      <rPr>
        <b val="true"/>
        <sz val="12"/>
        <color rgb="FFFFFFFF"/>
        <rFont val="Arial"/>
        <family val="0"/>
        <charset val="1"/>
      </rPr>
      <t xml:space="preserve">  Terry  </t>
    </r>
    <r>
      <rPr>
        <b val="true"/>
        <sz val="12"/>
        <color rgb="FFFFFFFF"/>
        <rFont val="DejaVu Sans"/>
        <family val="2"/>
      </rPr>
      <t xml:space="preserve">｜  首席創意長  ｜  創意產出追蹤</t>
    </r>
  </si>
  <si>
    <t xml:space="preserve">任務名稱</t>
  </si>
  <si>
    <t xml:space="preserve">類型</t>
  </si>
  <si>
    <t xml:space="preserve">優先度</t>
  </si>
  <si>
    <t xml:space="preserve">狀態</t>
  </si>
  <si>
    <r>
      <rPr>
        <b val="true"/>
        <sz val="9"/>
        <color rgb="FFFFFFFF"/>
        <rFont val="DejaVu Sans"/>
        <family val="2"/>
      </rPr>
      <t xml:space="preserve">品質分
</t>
    </r>
    <r>
      <rPr>
        <b val="true"/>
        <sz val="9"/>
        <color rgb="FFFFFFFF"/>
        <rFont val="Arial"/>
        <family val="0"/>
        <charset val="1"/>
      </rPr>
      <t xml:space="preserve">(1-10)</t>
    </r>
  </si>
  <si>
    <t xml:space="preserve">複利積分</t>
  </si>
  <si>
    <t xml:space="preserve">備註</t>
  </si>
  <si>
    <r>
      <rPr>
        <sz val="10"/>
        <color rgb="FF000000"/>
        <rFont val="DejaVu Sans"/>
        <family val="2"/>
      </rPr>
      <t xml:space="preserve">創意簡報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DejaVu Sans"/>
        <family val="2"/>
      </rPr>
      <t xml:space="preserve">投資主題</t>
    </r>
  </si>
  <si>
    <t xml:space="preserve">創意簡報</t>
  </si>
  <si>
    <t xml:space="preserve">高</t>
  </si>
  <si>
    <t xml:space="preserve">進行中</t>
  </si>
  <si>
    <r>
      <rPr>
        <sz val="10"/>
        <color rgb="FF000000"/>
        <rFont val="DejaVu Sans"/>
        <family val="2"/>
      </rPr>
      <t xml:space="preserve">創意產出任務 </t>
    </r>
    <r>
      <rPr>
        <sz val="10"/>
        <color rgb="FF000000"/>
        <rFont val="Arial"/>
        <family val="0"/>
        <charset val="1"/>
      </rPr>
      <t xml:space="preserve">2</t>
    </r>
  </si>
  <si>
    <t xml:space="preserve">待定</t>
  </si>
  <si>
    <t xml:space="preserve">中</t>
  </si>
  <si>
    <t xml:space="preserve">待辦</t>
  </si>
  <si>
    <r>
      <rPr>
        <sz val="10"/>
        <color rgb="FF000000"/>
        <rFont val="DejaVu Sans"/>
        <family val="2"/>
      </rPr>
      <t xml:space="preserve">創意產出任務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</si>
  <si>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DejaVu Sans"/>
        <family val="2"/>
      </rPr>
      <t xml:space="preserve">創意產出任務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</si>
  <si>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DejaVu Sans"/>
        <family val="2"/>
      </rPr>
      <t xml:space="preserve">創意產出任務 </t>
    </r>
    <r>
      <rPr>
        <sz val="10"/>
        <color rgb="FF000000"/>
        <rFont val="Arial"/>
        <family val="0"/>
        <charset val="1"/>
      </rPr>
      <t xml:space="preserve">5</t>
    </r>
  </si>
  <si>
    <r>
      <rPr>
        <b val="true"/>
        <sz val="10"/>
        <color rgb="FFFFFFFF"/>
        <rFont val="Arial"/>
        <family val="0"/>
        <charset val="1"/>
      </rPr>
      <t xml:space="preserve">Terry </t>
    </r>
    <r>
      <rPr>
        <b val="true"/>
        <sz val="10"/>
        <color rgb="FFFFFFFF"/>
        <rFont val="DejaVu Sans"/>
        <family val="2"/>
      </rPr>
      <t xml:space="preserve">複利積分合計</t>
    </r>
  </si>
  <si>
    <t xml:space="preserve">分</t>
  </si>
  <si>
    <r>
      <rPr>
        <b val="true"/>
        <sz val="12"/>
        <color rgb="FFFFFFFF"/>
        <rFont val="Arial"/>
        <family val="0"/>
        <charset val="1"/>
      </rPr>
      <t xml:space="preserve">  Miles  </t>
    </r>
    <r>
      <rPr>
        <b val="true"/>
        <sz val="12"/>
        <color rgb="FFFFFFFF"/>
        <rFont val="DejaVu Sans"/>
        <family val="2"/>
      </rPr>
      <t xml:space="preserve">｜  首席創造長  ｜  執行任務追蹤</t>
    </r>
  </si>
  <si>
    <r>
      <rPr>
        <sz val="10"/>
        <color rgb="FF000000"/>
        <rFont val="Arial"/>
        <family val="0"/>
        <charset val="1"/>
      </rPr>
      <t xml:space="preserve">Phase3</t>
    </r>
    <r>
      <rPr>
        <sz val="10"/>
        <color rgb="FF000000"/>
        <rFont val="DejaVu Sans"/>
        <family val="2"/>
      </rPr>
      <t xml:space="preserve">執行計畫拆解</t>
    </r>
  </si>
  <si>
    <t xml:space="preserve">執行規劃</t>
  </si>
  <si>
    <t xml:space="preserve">完成</t>
  </si>
  <si>
    <r>
      <rPr>
        <sz val="10"/>
        <color rgb="FF000000"/>
        <rFont val="DejaVu Sans"/>
        <family val="2"/>
      </rPr>
      <t xml:space="preserve">執行任務任務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</si>
  <si>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DejaVu Sans"/>
        <family val="2"/>
      </rPr>
      <t xml:space="preserve">執行任務任務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</si>
  <si>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DejaVu Sans"/>
        <family val="2"/>
      </rPr>
      <t xml:space="preserve">執行任務任務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</si>
  <si>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DejaVu Sans"/>
        <family val="2"/>
      </rPr>
      <t xml:space="preserve">執行任務任務 </t>
    </r>
    <r>
      <rPr>
        <sz val="10"/>
        <color rgb="FF000000"/>
        <rFont val="Arial"/>
        <family val="0"/>
        <charset val="1"/>
      </rPr>
      <t xml:space="preserve">5</t>
    </r>
  </si>
  <si>
    <r>
      <rPr>
        <b val="true"/>
        <sz val="10"/>
        <color rgb="FFFFFFFF"/>
        <rFont val="Arial"/>
        <family val="0"/>
        <charset val="1"/>
      </rPr>
      <t xml:space="preserve">Miles </t>
    </r>
    <r>
      <rPr>
        <b val="true"/>
        <sz val="10"/>
        <color rgb="FFFFFFFF"/>
        <rFont val="DejaVu Sans"/>
        <family val="2"/>
      </rPr>
      <t xml:space="preserve">複利積分合計</t>
    </r>
  </si>
  <si>
    <r>
      <rPr>
        <b val="true"/>
        <sz val="12"/>
        <color rgb="FFFFFFFF"/>
        <rFont val="Arial"/>
        <family val="0"/>
        <charset val="1"/>
      </rPr>
      <t xml:space="preserve">  Wayne  </t>
    </r>
    <r>
      <rPr>
        <b val="true"/>
        <sz val="12"/>
        <color rgb="FFFFFFFF"/>
        <rFont val="DejaVu Sans"/>
        <family val="2"/>
      </rPr>
      <t xml:space="preserve">｜  首席創新長  ｜  創新掃描追蹤</t>
    </r>
  </si>
  <si>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DejaVu Sans"/>
        <family val="2"/>
      </rPr>
      <t xml:space="preserve">趨勢雷達掃描</t>
    </r>
  </si>
  <si>
    <t xml:space="preserve">創新研究</t>
  </si>
  <si>
    <r>
      <rPr>
        <sz val="10"/>
        <color rgb="FF000000"/>
        <rFont val="DejaVu Sans"/>
        <family val="2"/>
      </rPr>
      <t xml:space="preserve">創新掃描任務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</si>
  <si>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DejaVu Sans"/>
        <family val="2"/>
      </rPr>
      <t xml:space="preserve">創新掃描任務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</si>
  <si>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DejaVu Sans"/>
        <family val="2"/>
      </rPr>
      <t xml:space="preserve">創新掃描任務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</si>
  <si>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DejaVu Sans"/>
        <family val="2"/>
      </rPr>
      <t xml:space="preserve">創新掃描任務 </t>
    </r>
    <r>
      <rPr>
        <sz val="10"/>
        <color rgb="FF000000"/>
        <rFont val="Arial"/>
        <family val="0"/>
        <charset val="1"/>
      </rPr>
      <t xml:space="preserve">5</t>
    </r>
  </si>
  <si>
    <r>
      <rPr>
        <b val="true"/>
        <sz val="10"/>
        <color rgb="FFFFFFFF"/>
        <rFont val="Arial"/>
        <family val="0"/>
        <charset val="1"/>
      </rPr>
      <t xml:space="preserve">Wayne </t>
    </r>
    <r>
      <rPr>
        <b val="true"/>
        <sz val="10"/>
        <color rgb="FFFFFFFF"/>
        <rFont val="DejaVu Sans"/>
        <family val="2"/>
      </rPr>
      <t xml:space="preserve">複利積分合計</t>
    </r>
  </si>
  <si>
    <r>
      <rPr>
        <b val="true"/>
        <sz val="12"/>
        <color rgb="FFFFFFFF"/>
        <rFont val="Arial"/>
        <family val="0"/>
        <charset val="1"/>
      </rPr>
      <t xml:space="preserve">  Wesley  </t>
    </r>
    <r>
      <rPr>
        <b val="true"/>
        <sz val="12"/>
        <color rgb="FFFFFFFF"/>
        <rFont val="DejaVu Sans"/>
        <family val="2"/>
      </rPr>
      <t xml:space="preserve">｜  首席全能工  ｜  支援任務追蹤</t>
    </r>
  </si>
  <si>
    <r>
      <rPr>
        <sz val="10"/>
        <color rgb="FF000000"/>
        <rFont val="Arial"/>
        <family val="0"/>
        <charset val="1"/>
      </rPr>
      <t xml:space="preserve">Skill</t>
    </r>
    <r>
      <rPr>
        <sz val="10"/>
        <color rgb="FF000000"/>
        <rFont val="DejaVu Sans"/>
        <family val="2"/>
      </rPr>
      <t xml:space="preserve">說明文件建立</t>
    </r>
  </si>
  <si>
    <t xml:space="preserve">文件整合</t>
  </si>
  <si>
    <r>
      <rPr>
        <sz val="10"/>
        <color rgb="FF000000"/>
        <rFont val="DejaVu Sans"/>
        <family val="2"/>
      </rPr>
      <t xml:space="preserve">支援任務任務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</si>
  <si>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DejaVu Sans"/>
        <family val="2"/>
      </rPr>
      <t xml:space="preserve">支援任務任務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</si>
  <si>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DejaVu Sans"/>
        <family val="2"/>
      </rPr>
      <t xml:space="preserve">支援任務任務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</si>
  <si>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DejaVu Sans"/>
        <family val="2"/>
      </rPr>
      <t xml:space="preserve">支援任務任務 </t>
    </r>
    <r>
      <rPr>
        <sz val="10"/>
        <color rgb="FF000000"/>
        <rFont val="Arial"/>
        <family val="0"/>
        <charset val="1"/>
      </rPr>
      <t xml:space="preserve">5</t>
    </r>
  </si>
  <si>
    <r>
      <rPr>
        <b val="true"/>
        <sz val="10"/>
        <color rgb="FFFFFFFF"/>
        <rFont val="Arial"/>
        <family val="0"/>
        <charset val="1"/>
      </rPr>
      <t xml:space="preserve">Wesley </t>
    </r>
    <r>
      <rPr>
        <b val="true"/>
        <sz val="10"/>
        <color rgb="FFFFFFFF"/>
        <rFont val="DejaVu Sans"/>
        <family val="2"/>
      </rPr>
      <t xml:space="preserve">複利積分合計</t>
    </r>
  </si>
  <si>
    <r>
      <rPr>
        <b val="true"/>
        <sz val="11"/>
        <color rgb="FFB7950B"/>
        <rFont val="Arial"/>
        <family val="0"/>
        <charset val="1"/>
      </rPr>
      <t xml:space="preserve">▌ Magic Lab </t>
    </r>
    <r>
      <rPr>
        <b val="true"/>
        <sz val="11"/>
        <color rgb="FFB7950B"/>
        <rFont val="DejaVu Sans"/>
        <family val="2"/>
      </rPr>
      <t xml:space="preserve">四人複利積分排行</t>
    </r>
  </si>
  <si>
    <t xml:space="preserve">成員</t>
  </si>
  <si>
    <t xml:space="preserve">複利等級</t>
  </si>
  <si>
    <t xml:space="preserve">評語</t>
  </si>
  <si>
    <r>
      <rPr>
        <i val="true"/>
        <sz val="9"/>
        <color rgb="FF666666"/>
        <rFont val="DejaVu Sans"/>
        <family val="2"/>
      </rPr>
      <t xml:space="preserve">持續積累，複利效應正在發生</t>
    </r>
    <r>
      <rPr>
        <i val="true"/>
        <sz val="9"/>
        <color rgb="FF666666"/>
        <rFont val="Arial"/>
        <family val="0"/>
        <charset val="1"/>
      </rPr>
      <t xml:space="preserve">...</t>
    </r>
  </si>
  <si>
    <r>
      <rPr>
        <b val="true"/>
        <sz val="14"/>
        <color rgb="FFFFFFFF"/>
        <rFont val="Arial"/>
        <family val="0"/>
        <charset val="1"/>
      </rPr>
      <t xml:space="preserve">Magic Lab  </t>
    </r>
    <r>
      <rPr>
        <b val="true"/>
        <sz val="14"/>
        <color rgb="FFFFFFFF"/>
        <rFont val="DejaVu Sans"/>
        <family val="2"/>
      </rPr>
      <t xml:space="preserve">四維選股評分 </t>
    </r>
    <r>
      <rPr>
        <b val="true"/>
        <sz val="14"/>
        <color rgb="FFFFFFFF"/>
        <rFont val="Arial"/>
        <family val="0"/>
        <charset val="1"/>
      </rPr>
      <t xml:space="preserve">× </t>
    </r>
    <r>
      <rPr>
        <b val="true"/>
        <sz val="14"/>
        <color rgb="FFFFFFFF"/>
        <rFont val="DejaVu Sans"/>
        <family val="2"/>
      </rPr>
      <t xml:space="preserve">複利效應模型</t>
    </r>
  </si>
  <si>
    <r>
      <rPr>
        <b val="true"/>
        <sz val="10"/>
        <color rgb="FFFFFFFF"/>
        <rFont val="Arial"/>
        <family val="0"/>
        <charset val="1"/>
      </rPr>
      <t xml:space="preserve">Terry</t>
    </r>
    <r>
      <rPr>
        <b val="true"/>
        <sz val="10"/>
        <color rgb="FFFFFFFF"/>
        <rFont val="DejaVu Sans"/>
        <family val="2"/>
      </rPr>
      <t xml:space="preserve">創意面 </t>
    </r>
    <r>
      <rPr>
        <b val="true"/>
        <sz val="10"/>
        <color rgb="FFFFFFFF"/>
        <rFont val="Arial"/>
        <family val="0"/>
        <charset val="1"/>
      </rPr>
      <t xml:space="preserve">+ Miles</t>
    </r>
    <r>
      <rPr>
        <b val="true"/>
        <sz val="10"/>
        <color rgb="FFFFFFFF"/>
        <rFont val="DejaVu Sans"/>
        <family val="2"/>
      </rPr>
      <t xml:space="preserve">執行面 </t>
    </r>
    <r>
      <rPr>
        <b val="true"/>
        <sz val="10"/>
        <color rgb="FFFFFFFF"/>
        <rFont val="Arial"/>
        <family val="0"/>
        <charset val="1"/>
      </rPr>
      <t xml:space="preserve">+ Wayne</t>
    </r>
    <r>
      <rPr>
        <b val="true"/>
        <sz val="10"/>
        <color rgb="FFFFFFFF"/>
        <rFont val="DejaVu Sans"/>
        <family val="2"/>
      </rPr>
      <t xml:space="preserve">創新面 </t>
    </r>
    <r>
      <rPr>
        <b val="true"/>
        <sz val="10"/>
        <color rgb="FFFFFFFF"/>
        <rFont val="Arial"/>
        <family val="0"/>
        <charset val="1"/>
      </rPr>
      <t xml:space="preserve">+ Wesley</t>
    </r>
    <r>
      <rPr>
        <b val="true"/>
        <sz val="10"/>
        <color rgb="FFFFFFFF"/>
        <rFont val="DejaVu Sans"/>
        <family val="2"/>
      </rPr>
      <t xml:space="preserve">風險面 → 複利總評分</t>
    </r>
  </si>
  <si>
    <r>
      <rPr>
        <b val="true"/>
        <sz val="11"/>
        <color rgb="FF2471A3"/>
        <rFont val="DejaVu Sans"/>
        <family val="2"/>
      </rPr>
      <t xml:space="preserve">▌ 評分權重假設（藍色</t>
    </r>
    <r>
      <rPr>
        <b val="true"/>
        <sz val="11"/>
        <color rgb="FF2471A3"/>
        <rFont val="Arial"/>
        <family val="0"/>
        <charset val="1"/>
      </rPr>
      <t xml:space="preserve">=</t>
    </r>
    <r>
      <rPr>
        <b val="true"/>
        <sz val="11"/>
        <color rgb="FF2471A3"/>
        <rFont val="DejaVu Sans"/>
        <family val="2"/>
      </rPr>
      <t xml:space="preserve">可調整）</t>
    </r>
  </si>
  <si>
    <r>
      <rPr>
        <b val="true"/>
        <sz val="10"/>
        <color rgb="FFFFFFFF"/>
        <rFont val="Arial"/>
        <family val="0"/>
        <charset val="1"/>
      </rPr>
      <t xml:space="preserve">Terry </t>
    </r>
    <r>
      <rPr>
        <b val="true"/>
        <sz val="10"/>
        <color rgb="FFFFFFFF"/>
        <rFont val="DejaVu Sans"/>
        <family val="2"/>
      </rPr>
      <t xml:space="preserve">創意面（品牌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故事）</t>
    </r>
  </si>
  <si>
    <r>
      <rPr>
        <b val="true"/>
        <sz val="10"/>
        <color rgb="FFFFFFFF"/>
        <rFont val="Arial"/>
        <family val="0"/>
        <charset val="1"/>
      </rPr>
      <t xml:space="preserve">Miles </t>
    </r>
    <r>
      <rPr>
        <b val="true"/>
        <sz val="10"/>
        <color rgb="FFFFFFFF"/>
        <rFont val="DejaVu Sans"/>
        <family val="2"/>
      </rPr>
      <t xml:space="preserve">執行面（基本面）</t>
    </r>
  </si>
  <si>
    <r>
      <rPr>
        <b val="true"/>
        <sz val="10"/>
        <color rgb="FFFFFFFF"/>
        <rFont val="Arial"/>
        <family val="0"/>
        <charset val="1"/>
      </rPr>
      <t xml:space="preserve">Wayne </t>
    </r>
    <r>
      <rPr>
        <b val="true"/>
        <sz val="10"/>
        <color rgb="FFFFFFFF"/>
        <rFont val="DejaVu Sans"/>
        <family val="2"/>
      </rPr>
      <t xml:space="preserve">創新面（成長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趨勢）</t>
    </r>
  </si>
  <si>
    <r>
      <rPr>
        <b val="true"/>
        <sz val="10"/>
        <color rgb="FFFFFFFF"/>
        <rFont val="Arial"/>
        <family val="0"/>
        <charset val="1"/>
      </rPr>
      <t xml:space="preserve">Wesley </t>
    </r>
    <r>
      <rPr>
        <b val="true"/>
        <sz val="10"/>
        <color rgb="FFFFFFFF"/>
        <rFont val="DejaVu Sans"/>
        <family val="2"/>
      </rPr>
      <t xml:space="preserve">風險面（穩定性）</t>
    </r>
  </si>
  <si>
    <t xml:space="preserve">權重合計驗證</t>
  </si>
  <si>
    <r>
      <rPr>
        <i val="true"/>
        <sz val="9"/>
        <color rgb="FF888888"/>
        <rFont val="DejaVu Sans"/>
        <family val="2"/>
      </rPr>
      <t xml:space="preserve">← 應為 </t>
    </r>
    <r>
      <rPr>
        <i val="true"/>
        <sz val="9"/>
        <color rgb="FF888888"/>
        <rFont val="Arial"/>
        <family val="0"/>
        <charset val="1"/>
      </rPr>
      <t xml:space="preserve">100%</t>
    </r>
    <r>
      <rPr>
        <i val="true"/>
        <sz val="9"/>
        <color rgb="FF888888"/>
        <rFont val="DejaVu Sans"/>
        <family val="2"/>
      </rPr>
      <t xml:space="preserve">，如不符請調整上方權重</t>
    </r>
  </si>
  <si>
    <r>
      <rPr>
        <b val="true"/>
        <sz val="11"/>
        <color rgb="FF2C3E50"/>
        <rFont val="DejaVu Sans"/>
        <family val="2"/>
      </rPr>
      <t xml:space="preserve">▌ 選股評分表（可加入最多</t>
    </r>
    <r>
      <rPr>
        <b val="true"/>
        <sz val="11"/>
        <color rgb="FF2C3E50"/>
        <rFont val="Arial"/>
        <family val="0"/>
        <charset val="1"/>
      </rPr>
      <t xml:space="preserve">10</t>
    </r>
    <r>
      <rPr>
        <b val="true"/>
        <sz val="11"/>
        <color rgb="FF2C3E50"/>
        <rFont val="DejaVu Sans"/>
        <family val="2"/>
      </rPr>
      <t xml:space="preserve">支股票）</t>
    </r>
  </si>
  <si>
    <t xml:space="preserve">股票代碼</t>
  </si>
  <si>
    <t xml:space="preserve">股票名稱</t>
  </si>
  <si>
    <r>
      <rPr>
        <b val="true"/>
        <sz val="9"/>
        <color rgb="FFFFFFFF"/>
        <rFont val="Arial"/>
        <family val="0"/>
        <charset val="1"/>
      </rPr>
      <t xml:space="preserve">Terry
</t>
    </r>
    <r>
      <rPr>
        <b val="true"/>
        <sz val="9"/>
        <color rgb="FFFFFFFF"/>
        <rFont val="DejaVu Sans"/>
        <family val="2"/>
      </rPr>
      <t xml:space="preserve">創意分
</t>
    </r>
    <r>
      <rPr>
        <b val="true"/>
        <sz val="9"/>
        <color rgb="FFFFFFFF"/>
        <rFont val="Arial"/>
        <family val="0"/>
        <charset val="1"/>
      </rPr>
      <t xml:space="preserve">(0-10)</t>
    </r>
  </si>
  <si>
    <r>
      <rPr>
        <b val="true"/>
        <sz val="9"/>
        <color rgb="FFFFFFFF"/>
        <rFont val="Arial"/>
        <family val="0"/>
        <charset val="1"/>
      </rPr>
      <t xml:space="preserve">Miles
</t>
    </r>
    <r>
      <rPr>
        <b val="true"/>
        <sz val="9"/>
        <color rgb="FFFFFFFF"/>
        <rFont val="DejaVu Sans"/>
        <family val="2"/>
      </rPr>
      <t xml:space="preserve">執行分
</t>
    </r>
    <r>
      <rPr>
        <b val="true"/>
        <sz val="9"/>
        <color rgb="FFFFFFFF"/>
        <rFont val="Arial"/>
        <family val="0"/>
        <charset val="1"/>
      </rPr>
      <t xml:space="preserve">(0-10)</t>
    </r>
  </si>
  <si>
    <r>
      <rPr>
        <b val="true"/>
        <sz val="9"/>
        <color rgb="FFFFFFFF"/>
        <rFont val="Arial"/>
        <family val="0"/>
        <charset val="1"/>
      </rPr>
      <t xml:space="preserve">Wayne
</t>
    </r>
    <r>
      <rPr>
        <b val="true"/>
        <sz val="9"/>
        <color rgb="FFFFFFFF"/>
        <rFont val="DejaVu Sans"/>
        <family val="2"/>
      </rPr>
      <t xml:space="preserve">創新分
</t>
    </r>
    <r>
      <rPr>
        <b val="true"/>
        <sz val="9"/>
        <color rgb="FFFFFFFF"/>
        <rFont val="Arial"/>
        <family val="0"/>
        <charset val="1"/>
      </rPr>
      <t xml:space="preserve">(0-10)</t>
    </r>
  </si>
  <si>
    <r>
      <rPr>
        <b val="true"/>
        <sz val="9"/>
        <color rgb="FFFFFFFF"/>
        <rFont val="Arial"/>
        <family val="0"/>
        <charset val="1"/>
      </rPr>
      <t xml:space="preserve">Wesley
</t>
    </r>
    <r>
      <rPr>
        <b val="true"/>
        <sz val="9"/>
        <color rgb="FFFFFFFF"/>
        <rFont val="DejaVu Sans"/>
        <family val="2"/>
      </rPr>
      <t xml:space="preserve">風險分
</t>
    </r>
    <r>
      <rPr>
        <b val="true"/>
        <sz val="9"/>
        <color rgb="FFFFFFFF"/>
        <rFont val="Arial"/>
        <family val="0"/>
        <charset val="1"/>
      </rPr>
      <t xml:space="preserve">(0-10)</t>
    </r>
  </si>
  <si>
    <t xml:space="preserve">加權總分</t>
  </si>
  <si>
    <t xml:space="preserve">投資建議</t>
  </si>
  <si>
    <t xml:space="preserve">2330</t>
  </si>
  <si>
    <t xml:space="preserve">台積電</t>
  </si>
  <si>
    <t xml:space="preserve">2317</t>
  </si>
  <si>
    <t xml:space="preserve">鴻海</t>
  </si>
  <si>
    <t xml:space="preserve">2454</t>
  </si>
  <si>
    <t xml:space="preserve">聯發科</t>
  </si>
  <si>
    <t xml:space="preserve">0050</t>
  </si>
  <si>
    <r>
      <rPr>
        <sz val="10"/>
        <color rgb="FF000000"/>
        <rFont val="DejaVu Sans"/>
        <family val="2"/>
      </rPr>
      <t xml:space="preserve">元大台灣</t>
    </r>
    <r>
      <rPr>
        <sz val="10"/>
        <color rgb="FF000000"/>
        <rFont val="Arial"/>
        <family val="0"/>
        <charset val="1"/>
      </rPr>
      <t xml:space="preserve">50</t>
    </r>
  </si>
  <si>
    <t xml:space="preserve">00878</t>
  </si>
  <si>
    <t xml:space="preserve">國泰永續高股息</t>
  </si>
  <si>
    <r>
      <rPr>
        <b val="true"/>
        <sz val="11"/>
        <color rgb="FF6C3483"/>
        <rFont val="DejaVu Sans"/>
        <family val="2"/>
      </rPr>
      <t xml:space="preserve">▌ 複利效應選股原則（</t>
    </r>
    <r>
      <rPr>
        <b val="true"/>
        <sz val="11"/>
        <color rgb="FF6C3483"/>
        <rFont val="Arial"/>
        <family val="0"/>
        <charset val="1"/>
      </rPr>
      <t xml:space="preserve">Wesley × Wayne </t>
    </r>
    <r>
      <rPr>
        <b val="true"/>
        <sz val="11"/>
        <color rgb="FF6C3483"/>
        <rFont val="DejaVu Sans"/>
        <family val="2"/>
      </rPr>
      <t xml:space="preserve">聯合審查）</t>
    </r>
  </si>
  <si>
    <r>
      <rPr>
        <b val="true"/>
        <sz val="10"/>
        <color rgb="FFFFFFFF"/>
        <rFont val="DejaVu Sans"/>
        <family val="2"/>
      </rPr>
      <t xml:space="preserve">複利選股原則 </t>
    </r>
    <r>
      <rPr>
        <b val="true"/>
        <sz val="10"/>
        <color rgb="FFFFFFFF"/>
        <rFont val="Arial"/>
        <family val="0"/>
        <charset val="1"/>
      </rPr>
      <t xml:space="preserve">1</t>
    </r>
  </si>
  <si>
    <r>
      <rPr>
        <sz val="10"/>
        <color rgb="FF000000"/>
        <rFont val="DejaVu Sans"/>
        <family val="2"/>
      </rPr>
      <t xml:space="preserve">選擇具備長期複利特性的標的（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DejaVu Sans"/>
        <family val="2"/>
      </rPr>
      <t xml:space="preserve">、能源、消費）</t>
    </r>
  </si>
  <si>
    <r>
      <rPr>
        <b val="true"/>
        <sz val="10"/>
        <color rgb="FFFFFFFF"/>
        <rFont val="DejaVu Sans"/>
        <family val="2"/>
      </rPr>
      <t xml:space="preserve">複利選股原則 </t>
    </r>
    <r>
      <rPr>
        <b val="true"/>
        <sz val="10"/>
        <color rgb="FFFFFFFF"/>
        <rFont val="Arial"/>
        <family val="0"/>
        <charset val="1"/>
      </rPr>
      <t xml:space="preserve">2</t>
    </r>
  </si>
  <si>
    <t xml:space="preserve">用定期定額建立習慣，讓時間成為最強武器</t>
  </si>
  <si>
    <r>
      <rPr>
        <b val="true"/>
        <sz val="10"/>
        <color rgb="FFFFFFFF"/>
        <rFont val="DejaVu Sans"/>
        <family val="2"/>
      </rPr>
      <t xml:space="preserve">複利選股原則 </t>
    </r>
    <r>
      <rPr>
        <b val="true"/>
        <sz val="10"/>
        <color rgb="FFFFFFFF"/>
        <rFont val="Arial"/>
        <family val="0"/>
        <charset val="1"/>
      </rPr>
      <t xml:space="preserve">3</t>
    </r>
  </si>
  <si>
    <r>
      <rPr>
        <sz val="10"/>
        <color rgb="FF000000"/>
        <rFont val="DejaVu Sans"/>
        <family val="2"/>
      </rPr>
      <t xml:space="preserve">加權分數 ≥ </t>
    </r>
    <r>
      <rPr>
        <sz val="10"/>
        <color rgb="FF000000"/>
        <rFont val="Arial"/>
        <family val="0"/>
        <charset val="1"/>
      </rPr>
      <t xml:space="preserve">8 = </t>
    </r>
    <r>
      <rPr>
        <sz val="10"/>
        <color rgb="FF000000"/>
        <rFont val="DejaVu Sans"/>
        <family val="2"/>
      </rPr>
      <t xml:space="preserve">強力買進，每季複利健檢一次</t>
    </r>
  </si>
  <si>
    <r>
      <rPr>
        <b val="true"/>
        <sz val="10"/>
        <color rgb="FFFFFFFF"/>
        <rFont val="DejaVu Sans"/>
        <family val="2"/>
      </rPr>
      <t xml:space="preserve">複利選股原則 </t>
    </r>
    <r>
      <rPr>
        <b val="true"/>
        <sz val="10"/>
        <color rgb="FFFFFFFF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</si>
  <si>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Terry </t>
    </r>
    <r>
      <rPr>
        <sz val="10"/>
        <color rgb="FF000000"/>
        <rFont val="DejaVu Sans"/>
        <family val="2"/>
      </rPr>
      <t xml:space="preserve">創意分 </t>
    </r>
    <r>
      <rPr>
        <sz val="10"/>
        <color rgb="FF000000"/>
        <rFont val="Arial"/>
        <family val="0"/>
        <charset val="1"/>
      </rPr>
      <t xml:space="preserve">+ Wayne </t>
    </r>
    <r>
      <rPr>
        <sz val="10"/>
        <color rgb="FF000000"/>
        <rFont val="DejaVu Sans"/>
        <family val="2"/>
      </rPr>
      <t xml:space="preserve">創新分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DejaVu Sans"/>
        <family val="2"/>
      </rPr>
      <t xml:space="preserve">看未來；</t>
    </r>
    <r>
      <rPr>
        <sz val="10"/>
        <color rgb="FF000000"/>
        <rFont val="Arial"/>
        <family val="0"/>
        <charset val="1"/>
      </rPr>
      <t xml:space="preserve">Miles </t>
    </r>
    <r>
      <rPr>
        <sz val="10"/>
        <color rgb="FF000000"/>
        <rFont val="DejaVu Sans"/>
        <family val="2"/>
      </rPr>
      <t xml:space="preserve">執行分 </t>
    </r>
    <r>
      <rPr>
        <sz val="10"/>
        <color rgb="FF000000"/>
        <rFont val="Arial"/>
        <family val="0"/>
        <charset val="1"/>
      </rPr>
      <t xml:space="preserve">+ Wesley </t>
    </r>
    <r>
      <rPr>
        <sz val="10"/>
        <color rgb="FF000000"/>
        <rFont val="DejaVu Sans"/>
        <family val="2"/>
      </rPr>
      <t xml:space="preserve">風險分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DejaVu Sans"/>
        <family val="2"/>
      </rPr>
      <t xml:space="preserve">看現在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</si>
</sst>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0\x"/>
    <numFmt numFmtId="168" formatCode="0.0"/>
    <numFmt numFmtId="169" formatCode="0%"/>
    <numFmt numFmtId="170" formatCode="0.00"/>
  </numFmts>
  <fonts count="9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22"/>
      <color rgb="FFFFFFFF"/>
      <name val="DejaVu Sans"/>
      <family val="2"/>
    </font>
    <font>
      <i val="true"/>
      <sz val="11"/>
      <color rgb="FFAAAAAA"/>
      <name val="DejaVu Sans"/>
      <family val="2"/>
    </font>
    <font>
      <i val="true"/>
      <sz val="11"/>
      <color rgb="FFAAAAAA"/>
      <name val="DejaVu Sans"/>
      <family val="2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i val="true"/>
      <sz val="10"/>
      <color rgb="FF0066CC"/>
      <name val="Arial"/>
      <family val="0"/>
      <charset val="1"/>
    </font>
    <font>
      <b val="true"/>
      <sz val="10"/>
      <color rgb="FF000000"/>
      <name val="DejaVu Sans"/>
      <family val="2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i val="true"/>
      <sz val="9"/>
      <color rgb="FFDDDDDD"/>
      <name val="Arial"/>
      <family val="0"/>
      <charset val="1"/>
    </font>
    <font>
      <i val="true"/>
      <sz val="9"/>
      <color rgb="FFDDDDDD"/>
      <name val="DejaVu Sans"/>
      <family val="2"/>
    </font>
    <font>
      <b val="true"/>
      <sz val="10"/>
      <color rgb="FFFFFFFF"/>
      <name val="DejaVu Sans"/>
      <family val="2"/>
    </font>
    <font>
      <b val="true"/>
      <sz val="11"/>
      <color rgb="FFC0392B"/>
      <name val="DejaVu Sans"/>
      <family val="2"/>
    </font>
    <font>
      <b val="true"/>
      <sz val="10"/>
      <color rgb="FFC0392B"/>
      <name val="DejaVu Sans"/>
      <family val="2"/>
    </font>
    <font>
      <b val="true"/>
      <sz val="11"/>
      <color rgb="FFC0392B"/>
      <name val="DejaVu Sans"/>
      <family val="2"/>
      <charset val="1"/>
    </font>
    <font>
      <sz val="10"/>
      <color rgb="FF1E8449"/>
      <name val="DejaVu Sans"/>
      <family val="2"/>
    </font>
    <font>
      <sz val="10"/>
      <color rgb="FF1E8449"/>
      <name val="DejaVu Sans"/>
      <family val="2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88888"/>
      <name val="DejaVu Sans"/>
      <family val="2"/>
    </font>
    <font>
      <b val="true"/>
      <sz val="10"/>
      <color rgb="FF1E8449"/>
      <name val="DejaVu Sans"/>
      <family val="2"/>
    </font>
    <font>
      <b val="true"/>
      <sz val="10"/>
      <color rgb="FF1E8449"/>
      <name val="DejaVu Sans"/>
      <family val="2"/>
      <charset val="1"/>
    </font>
    <font>
      <b val="true"/>
      <sz val="11"/>
      <color rgb="FF2471A3"/>
      <name val="DejaVu Sans"/>
      <family val="2"/>
    </font>
    <font>
      <b val="true"/>
      <sz val="10"/>
      <color rgb="FF2471A3"/>
      <name val="Arial"/>
      <family val="0"/>
      <charset val="1"/>
    </font>
    <font>
      <b val="true"/>
      <sz val="10"/>
      <color rgb="FF2471A3"/>
      <name val="DejaVu Sans"/>
      <family val="2"/>
    </font>
    <font>
      <b val="true"/>
      <sz val="11"/>
      <color rgb="FF2471A3"/>
      <name val="DejaVu Sans"/>
      <family val="2"/>
      <charset val="1"/>
    </font>
    <font>
      <b val="true"/>
      <sz val="11"/>
      <color rgb="FF1E8449"/>
      <name val="DejaVu Sans"/>
      <family val="2"/>
    </font>
    <font>
      <b val="true"/>
      <sz val="10"/>
      <color rgb="FF1E8449"/>
      <name val="Arial"/>
      <family val="0"/>
      <charset val="1"/>
    </font>
    <font>
      <b val="true"/>
      <sz val="11"/>
      <color rgb="FF1E8449"/>
      <name val="DejaVu Sans"/>
      <family val="2"/>
      <charset val="1"/>
    </font>
    <font>
      <sz val="10"/>
      <color rgb="FF1E8449"/>
      <name val="Arial"/>
      <family val="0"/>
      <charset val="1"/>
    </font>
    <font>
      <b val="true"/>
      <sz val="11"/>
      <color rgb="FF6C3483"/>
      <name val="DejaVu Sans"/>
      <family val="2"/>
    </font>
    <font>
      <b val="true"/>
      <sz val="10"/>
      <color rgb="FF6C3483"/>
      <name val="DejaVu Sans"/>
      <family val="2"/>
    </font>
    <font>
      <b val="true"/>
      <sz val="10"/>
      <color rgb="FF6C3483"/>
      <name val="DejaVu Sans"/>
      <family val="2"/>
      <charset val="1"/>
    </font>
    <font>
      <b val="true"/>
      <sz val="11"/>
      <color rgb="FF6C3483"/>
      <name val="DejaVu Sans"/>
      <family val="2"/>
      <charset val="1"/>
    </font>
    <font>
      <b val="true"/>
      <sz val="15"/>
      <color rgb="FFFFFFFF"/>
      <name val="DejaVu Sans"/>
      <family val="2"/>
    </font>
    <font>
      <b val="true"/>
      <sz val="15"/>
      <color rgb="FFFFFFFF"/>
      <name val="DejaVu Sans"/>
      <family val="2"/>
      <charset val="1"/>
    </font>
    <font>
      <i val="true"/>
      <sz val="11"/>
      <color rgb="FFBBBBBB"/>
      <name val="DejaVu Sans"/>
      <family val="2"/>
    </font>
    <font>
      <i val="true"/>
      <sz val="11"/>
      <color rgb="FFBBBBBB"/>
      <name val="DejaVu Sans"/>
      <family val="2"/>
      <charset val="1"/>
    </font>
    <font>
      <b val="true"/>
      <sz val="9"/>
      <color rgb="FFFFFFFF"/>
      <name val="DejaVu Sans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333333"/>
      <name val="DejaVu Sans"/>
      <family val="2"/>
    </font>
    <font>
      <sz val="9"/>
      <color rgb="FFC0392B"/>
      <name val="DejaVu Sans"/>
      <family val="2"/>
    </font>
    <font>
      <sz val="9"/>
      <color rgb="FF2471A3"/>
      <name val="DejaVu Sans"/>
      <family val="2"/>
    </font>
    <font>
      <sz val="9"/>
      <color rgb="FF2471A3"/>
      <name val="DejaVu Sans"/>
      <family val="2"/>
      <charset val="1"/>
    </font>
    <font>
      <sz val="9"/>
      <color rgb="FF1E8449"/>
      <name val="DejaVu Sans"/>
      <family val="2"/>
    </font>
    <font>
      <sz val="9"/>
      <color rgb="FF6C3483"/>
      <name val="DejaVu Sans"/>
      <family val="2"/>
    </font>
    <font>
      <b val="true"/>
      <sz val="9"/>
      <color rgb="FF333333"/>
      <name val="DejaVu Sans"/>
      <family val="2"/>
      <charset val="1"/>
    </font>
    <font>
      <sz val="9"/>
      <color rgb="FF1E8449"/>
      <name val="DejaVu Sans"/>
      <family val="2"/>
      <charset val="1"/>
    </font>
    <font>
      <sz val="9"/>
      <color rgb="FFC0392B"/>
      <name val="DejaVu Sans"/>
      <family val="2"/>
      <charset val="1"/>
    </font>
    <font>
      <sz val="9"/>
      <color rgb="FF2471A3"/>
      <name val="Arial"/>
      <family val="0"/>
      <charset val="1"/>
    </font>
    <font>
      <sz val="9"/>
      <color rgb="FF1E8449"/>
      <name val="Arial"/>
      <family val="0"/>
      <charset val="1"/>
    </font>
    <font>
      <b val="true"/>
      <i val="true"/>
      <sz val="10"/>
      <color rgb="FFB7950B"/>
      <name val="Arial"/>
      <family val="0"/>
      <charset val="1"/>
    </font>
    <font>
      <b val="true"/>
      <i val="true"/>
      <sz val="10"/>
      <color rgb="FFB7950B"/>
      <name val="DejaVu Sans"/>
      <family val="2"/>
    </font>
    <font>
      <b val="true"/>
      <sz val="15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B7950B"/>
      <name val="Arial"/>
      <family val="0"/>
      <charset val="1"/>
    </font>
    <font>
      <b val="true"/>
      <sz val="12"/>
      <color rgb="FF2471A3"/>
      <name val="Arial"/>
      <family val="0"/>
      <charset val="1"/>
    </font>
    <font>
      <b val="true"/>
      <sz val="12"/>
      <color rgb="FF1E8449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2"/>
      <color rgb="FF2C3E50"/>
      <name val="Arial"/>
      <family val="0"/>
      <charset val="1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DejaVu Sans"/>
      <family val="2"/>
    </font>
    <font>
      <sz val="9"/>
      <color rgb="FF000000"/>
      <name val="DejaVu Sans"/>
      <family val="2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888888"/>
      <name val="DejaVu Sans"/>
      <family val="2"/>
    </font>
    <font>
      <b val="true"/>
      <sz val="11"/>
      <color rgb="FFC0392B"/>
      <name val="Arial"/>
      <family val="0"/>
      <charset val="1"/>
    </font>
    <font>
      <b val="true"/>
      <sz val="11"/>
      <color rgb="FF2471A3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b val="true"/>
      <sz val="11"/>
      <color rgb="FF6C3483"/>
      <name val="Arial"/>
      <family val="0"/>
      <charset val="1"/>
    </font>
    <font>
      <b val="true"/>
      <sz val="11"/>
      <color rgb="FFB7950B"/>
      <name val="Arial"/>
      <family val="0"/>
      <charset val="1"/>
    </font>
    <font>
      <b val="true"/>
      <sz val="11"/>
      <color rgb="FFB7950B"/>
      <name val="DejaVu Sans"/>
      <family val="2"/>
    </font>
    <font>
      <i val="true"/>
      <sz val="9"/>
      <color rgb="FF666666"/>
      <name val="DejaVu Sans"/>
      <family val="2"/>
    </font>
    <font>
      <i val="true"/>
      <sz val="9"/>
      <color rgb="FF666666"/>
      <name val="Arial"/>
      <family val="0"/>
      <charset val="1"/>
    </font>
    <font>
      <i val="true"/>
      <sz val="9"/>
      <color rgb="FF888888"/>
      <name val="DejaVu Sans"/>
      <family val="2"/>
    </font>
    <font>
      <i val="true"/>
      <sz val="9"/>
      <color rgb="FF888888"/>
      <name val="Arial"/>
      <family val="0"/>
      <charset val="1"/>
    </font>
    <font>
      <b val="true"/>
      <sz val="11"/>
      <color rgb="FF2C3E50"/>
      <name val="DejaVu Sans"/>
      <family val="2"/>
    </font>
    <font>
      <b val="true"/>
      <sz val="11"/>
      <color rgb="FF2C3E5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2C3E50"/>
        <bgColor rgb="FF333333"/>
      </patternFill>
    </fill>
    <fill>
      <patternFill patternType="solid">
        <fgColor rgb="FFC0392B"/>
        <bgColor rgb="FF993366"/>
      </patternFill>
    </fill>
    <fill>
      <patternFill patternType="solid">
        <fgColor rgb="FFF8F9FA"/>
        <bgColor rgb="FFFFF9F9"/>
      </patternFill>
    </fill>
    <fill>
      <patternFill patternType="solid">
        <fgColor rgb="FFEEF4FF"/>
        <bgColor rgb="FFEBF5FB"/>
      </patternFill>
    </fill>
    <fill>
      <patternFill patternType="solid">
        <fgColor rgb="FFFFFFFF"/>
        <bgColor rgb="FFFDFEFE"/>
      </patternFill>
    </fill>
    <fill>
      <patternFill patternType="solid">
        <fgColor rgb="FF2471A3"/>
        <bgColor rgb="FF0066CC"/>
      </patternFill>
    </fill>
    <fill>
      <patternFill patternType="solid">
        <fgColor rgb="FF1E8449"/>
        <bgColor rgb="FF008080"/>
      </patternFill>
    </fill>
    <fill>
      <patternFill patternType="solid">
        <fgColor rgb="FF6C3483"/>
        <bgColor rgb="FF993366"/>
      </patternFill>
    </fill>
    <fill>
      <patternFill patternType="solid">
        <fgColor rgb="FFEAECEE"/>
        <bgColor rgb="FFF2F3F4"/>
      </patternFill>
    </fill>
    <fill>
      <patternFill patternType="solid">
        <fgColor rgb="FFFFF9F9"/>
        <bgColor rgb="FFFDFAF0"/>
      </patternFill>
    </fill>
    <fill>
      <patternFill patternType="solid">
        <fgColor rgb="FFF2F3F4"/>
        <bgColor rgb="FFEEF4FF"/>
      </patternFill>
    </fill>
    <fill>
      <patternFill patternType="solid">
        <fgColor rgb="FFFFF3E0"/>
        <bgColor rgb="FFFDFAF0"/>
      </patternFill>
    </fill>
    <fill>
      <patternFill patternType="solid">
        <fgColor rgb="FFFDFEFE"/>
        <bgColor rgb="FFFFFFFF"/>
      </patternFill>
    </fill>
    <fill>
      <patternFill patternType="solid">
        <fgColor rgb="FFEAFAF1"/>
        <bgColor rgb="FFEBF5FB"/>
      </patternFill>
    </fill>
    <fill>
      <patternFill patternType="solid">
        <fgColor rgb="FFFDFAF0"/>
        <bgColor rgb="FFFFF9F9"/>
      </patternFill>
    </fill>
    <fill>
      <patternFill patternType="solid">
        <fgColor rgb="FFEBF5FB"/>
        <bgColor rgb="FFEEF4FF"/>
      </patternFill>
    </fill>
    <fill>
      <patternFill patternType="solid">
        <fgColor rgb="FFB7950B"/>
        <bgColor rgb="FFFF99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E8449"/>
      </left>
      <right/>
      <top style="thin">
        <color rgb="FF1E8449"/>
      </top>
      <bottom style="thin">
        <color rgb="FF1E8449"/>
      </bottom>
      <diagonal/>
    </border>
    <border diagonalUp="false" diagonalDown="false">
      <left style="thin">
        <color rgb="FFB7950B"/>
      </left>
      <right/>
      <top style="thin">
        <color rgb="FFB7950B"/>
      </top>
      <bottom style="thin">
        <color rgb="FFB7950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3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1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9F9"/>
      <rgbColor rgb="FFFF00FF"/>
      <rgbColor rgb="FF00FFFF"/>
      <rgbColor rgb="FF800000"/>
      <rgbColor rgb="FF008000"/>
      <rgbColor rgb="FF000080"/>
      <rgbColor rgb="FFB7950B"/>
      <rgbColor rgb="FF800080"/>
      <rgbColor rgb="FF2471A3"/>
      <rgbColor rgb="FFBBBBBB"/>
      <rgbColor rgb="FF888888"/>
      <rgbColor rgb="FFEEF4FF"/>
      <rgbColor rgb="FF6C3483"/>
      <rgbColor rgb="FFFFF3E0"/>
      <rgbColor rgb="FFEAFAF1"/>
      <rgbColor rgb="FF660066"/>
      <rgbColor rgb="FFFF8080"/>
      <rgbColor rgb="FF0066CC"/>
      <rgbColor rgb="FFCCCCCC"/>
      <rgbColor rgb="FF000080"/>
      <rgbColor rgb="FFFF00FF"/>
      <rgbColor rgb="FFF8F9FA"/>
      <rgbColor rgb="FF00FFFF"/>
      <rgbColor rgb="FF800080"/>
      <rgbColor rgb="FF800000"/>
      <rgbColor rgb="FF008080"/>
      <rgbColor rgb="FF0000FF"/>
      <rgbColor rgb="FF00CCFF"/>
      <rgbColor rgb="FFEBF5FB"/>
      <rgbColor rgb="FFEAECEE"/>
      <rgbColor rgb="FFFDFAF0"/>
      <rgbColor rgb="FFB3B3B3"/>
      <rgbColor rgb="FFF2F3F4"/>
      <rgbColor rgb="FFDDDDDD"/>
      <rgbColor rgb="FFD9D9D9"/>
      <rgbColor rgb="FF3366FF"/>
      <rgbColor rgb="FF33CCCC"/>
      <rgbColor rgb="FF99CC00"/>
      <rgbColor rgb="FFFDFEFE"/>
      <rgbColor rgb="FFFF9900"/>
      <rgbColor rgb="FFFF6600"/>
      <rgbColor rgb="FF666666"/>
      <rgbColor rgb="FFAAAAAA"/>
      <rgbColor rgb="FF003366"/>
      <rgbColor rgb="FF1E8449"/>
      <rgbColor rgb="FF003300"/>
      <rgbColor rgb="FF333300"/>
      <rgbColor rgb="FFC0392B"/>
      <rgbColor rgb="FF993366"/>
      <rgbColor rgb="FF2C3E5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複利成長曲線（20年）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'💰 複利計算模型'!F10</c:f>
              <c:strCache>
                <c:ptCount val="1"/>
                <c:pt idx="0">
                  <c:v>期末資產</c:v>
                </c:pt>
              </c:strCache>
            </c:strRef>
          </c:tx>
          <c:spPr>
            <a:solidFill>
              <a:srgbClr val="2C3E50"/>
            </a:solidFill>
            <a:ln w="12600">
              <a:solidFill>
                <a:srgbClr val="2C3E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複利計算模型'!$B$11:$B$30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'💰 複利計算模型'!$F$11:$F$30</c:f>
              <c:numCache>
                <c:formatCode>#,##0</c:formatCode>
                <c:ptCount val="20"/>
                <c:pt idx="0">
                  <c:v>386400</c:v>
                </c:pt>
                <c:pt idx="1">
                  <c:v>479712</c:v>
                </c:pt>
                <c:pt idx="2">
                  <c:v>580488.96</c:v>
                </c:pt>
                <c:pt idx="3">
                  <c:v>689328.0768</c:v>
                </c:pt>
                <c:pt idx="4">
                  <c:v>806874.322944</c:v>
                </c:pt>
                <c:pt idx="5">
                  <c:v>933824.26877952</c:v>
                </c:pt>
                <c:pt idx="6">
                  <c:v>1070930.21028188</c:v>
                </c:pt>
                <c:pt idx="7">
                  <c:v>1219004.62710443</c:v>
                </c:pt>
                <c:pt idx="8">
                  <c:v>1378924.99727279</c:v>
                </c:pt>
                <c:pt idx="9">
                  <c:v>1551638.99705461</c:v>
                </c:pt>
                <c:pt idx="10">
                  <c:v>1738170.11681898</c:v>
                </c:pt>
                <c:pt idx="11">
                  <c:v>1939623.7261645</c:v>
                </c:pt>
                <c:pt idx="12">
                  <c:v>2157193.62425766</c:v>
                </c:pt>
                <c:pt idx="13">
                  <c:v>2392169.11419827</c:v>
                </c:pt>
                <c:pt idx="14">
                  <c:v>2645942.64333413</c:v>
                </c:pt>
                <c:pt idx="15">
                  <c:v>2920018.05480086</c:v>
                </c:pt>
                <c:pt idx="16">
                  <c:v>3216019.49918493</c:v>
                </c:pt>
                <c:pt idx="17">
                  <c:v>3535701.05911972</c:v>
                </c:pt>
                <c:pt idx="18">
                  <c:v>3880957.1438493</c:v>
                </c:pt>
                <c:pt idx="19">
                  <c:v>4253833.71535725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'💰 複利計算模型'!G10</c:f>
              <c:strCache>
                <c:ptCount val="1"/>
                <c:pt idx="0">
                  <c:v>實質購買力</c:v>
                </c:pt>
              </c:strCache>
            </c:strRef>
          </c:tx>
          <c:spPr>
            <a:solidFill>
              <a:srgbClr val="B7950B"/>
            </a:solidFill>
            <a:ln w="12600">
              <a:solidFill>
                <a:srgbClr val="B795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複利計算模型'!$B$11:$B$30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'💰 複利計算模型'!$G$11:$G$30</c:f>
              <c:numCache>
                <c:formatCode>#,##0</c:formatCode>
                <c:ptCount val="20"/>
                <c:pt idx="0">
                  <c:v>378823.529411765</c:v>
                </c:pt>
                <c:pt idx="1">
                  <c:v>461084.198385236</c:v>
                </c:pt>
                <c:pt idx="2">
                  <c:v>547007.711965986</c:v>
                </c:pt>
                <c:pt idx="3">
                  <c:v>636832.590783334</c:v>
                </c:pt>
                <c:pt idx="4">
                  <c:v>730810.933951034</c:v>
                </c:pt>
                <c:pt idx="5">
                  <c:v>829209.22666716</c:v>
                </c:pt>
                <c:pt idx="6">
                  <c:v>932309.195146031</c:v>
                </c:pt>
                <c:pt idx="7">
                  <c:v>1040408.71166983</c:v>
                </c:pt>
                <c:pt idx="8">
                  <c:v>1153822.75271145</c:v>
                </c:pt>
                <c:pt idx="9">
                  <c:v>1272884.41325374</c:v>
                </c:pt>
                <c:pt idx="10">
                  <c:v>1397945.98061397</c:v>
                </c:pt>
                <c:pt idx="11">
                  <c:v>1529380.07127697</c:v>
                </c:pt>
                <c:pt idx="12">
                  <c:v>1667580.83444649</c:v>
                </c:pt>
                <c:pt idx="13">
                  <c:v>1812965.22624236</c:v>
                </c:pt>
                <c:pt idx="14">
                  <c:v>1965974.35870202</c:v>
                </c:pt>
                <c:pt idx="15">
                  <c:v>2127074.92798967</c:v>
                </c:pt>
                <c:pt idx="16">
                  <c:v>2296760.72647511</c:v>
                </c:pt>
                <c:pt idx="17">
                  <c:v>2475554.24361856</c:v>
                </c:pt>
                <c:pt idx="18">
                  <c:v>2664008.36088813</c:v>
                </c:pt>
                <c:pt idx="19">
                  <c:v>2862708.14624397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278343"/>
        <c:axId val="59174783"/>
      </c:lineChart>
      <c:catAx>
        <c:axId val="292783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174783"/>
        <c:crosses val="autoZero"/>
        <c:auto val="1"/>
        <c:lblAlgn val="ctr"/>
        <c:lblOffset val="100"/>
        <c:noMultiLvlLbl val="0"/>
      </c:catAx>
      <c:valAx>
        <c:axId val="591747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資產（元）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2783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選股加權評分比較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選股評分模型'!H12</c:f>
              <c:strCache>
                <c:ptCount val="1"/>
                <c:pt idx="0">
                  <c:v>加權總分</c:v>
                </c:pt>
              </c:strCache>
            </c:strRef>
          </c:tx>
          <c:spPr>
            <a:solidFill>
              <a:srgbClr val="2C3E5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選股評分模型'!$C$13:$C$17</c:f>
              <c:strCache>
                <c:ptCount val="5"/>
                <c:pt idx="0">
                  <c:v>台積電</c:v>
                </c:pt>
                <c:pt idx="1">
                  <c:v>鴻海</c:v>
                </c:pt>
                <c:pt idx="2">
                  <c:v>聯發科</c:v>
                </c:pt>
                <c:pt idx="3">
                  <c:v>元大台灣50</c:v>
                </c:pt>
                <c:pt idx="4">
                  <c:v>國泰永續高股息</c:v>
                </c:pt>
              </c:strCache>
            </c:strRef>
          </c:cat>
          <c:val>
            <c:numRef>
              <c:f>'📈 選股評分模型'!$H$13:$H$17</c:f>
              <c:numCache>
                <c:formatCode>0.00</c:formatCode>
                <c:ptCount val="5"/>
                <c:pt idx="0">
                  <c:v>8.4</c:v>
                </c:pt>
                <c:pt idx="1">
                  <c:v>7.3</c:v>
                </c:pt>
                <c:pt idx="2">
                  <c:v>7.7</c:v>
                </c:pt>
                <c:pt idx="3">
                  <c:v>7.35</c:v>
                </c:pt>
                <c:pt idx="4">
                  <c:v>6.5</c:v>
                </c:pt>
              </c:numCache>
            </c:numRef>
          </c:val>
        </c:ser>
        <c:gapWidth val="150"/>
        <c:overlap val="0"/>
        <c:axId val="32443681"/>
        <c:axId val="54786298"/>
      </c:barChart>
      <c:catAx>
        <c:axId val="324436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股票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786298"/>
        <c:crosses val="autoZero"/>
        <c:auto val="1"/>
        <c:lblAlgn val="ctr"/>
        <c:lblOffset val="100"/>
        <c:noMultiLvlLbl val="0"/>
      </c:catAx>
      <c:valAx>
        <c:axId val="547862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加權總分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4436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38</xdr:row>
      <xdr:rowOff>0</xdr:rowOff>
    </xdr:from>
    <xdr:to>
      <xdr:col>8</xdr:col>
      <xdr:colOff>589320</xdr:colOff>
      <xdr:row>64</xdr:row>
      <xdr:rowOff>86760</xdr:rowOff>
    </xdr:to>
    <xdr:graphicFrame>
      <xdr:nvGraphicFramePr>
        <xdr:cNvPr id="1" name="Chart 1"/>
        <xdr:cNvGraphicFramePr/>
      </xdr:nvGraphicFramePr>
      <xdr:xfrm>
        <a:off x="141120" y="93916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8</xdr:col>
      <xdr:colOff>715320</xdr:colOff>
      <xdr:row>51</xdr:row>
      <xdr:rowOff>128880</xdr:rowOff>
    </xdr:to>
    <xdr:graphicFrame>
      <xdr:nvGraphicFramePr>
        <xdr:cNvPr id="2" name="Chart 1"/>
        <xdr:cNvGraphicFramePr/>
      </xdr:nvGraphicFramePr>
      <xdr:xfrm>
        <a:off x="141120" y="7372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4" min="3" style="1" width="32"/>
    <col collapsed="false" customWidth="true" hidden="false" outlineLevel="0" max="5" min="5" style="1" width="22"/>
    <col collapsed="false" customWidth="true" hidden="false" outlineLevel="0" max="6" min="6" style="1" width="2"/>
  </cols>
  <sheetData>
    <row r="1" customFormat="false" ht="7.5" hidden="false" customHeight="true" outlineLevel="0" collapsed="false">
      <c r="B1" s="2"/>
      <c r="C1" s="2"/>
      <c r="D1" s="2"/>
      <c r="E1" s="2"/>
    </row>
    <row r="2" customFormat="false" ht="43.5" hidden="false" customHeight="true" outlineLevel="0" collapsed="false">
      <c r="B2" s="3" t="s">
        <v>0</v>
      </c>
      <c r="C2" s="3"/>
      <c r="D2" s="3"/>
      <c r="E2" s="3"/>
    </row>
    <row r="3" customFormat="false" ht="21.75" hidden="false" customHeight="true" outlineLevel="0" collapsed="false">
      <c r="B3" s="4" t="s">
        <v>1</v>
      </c>
      <c r="C3" s="4"/>
      <c r="D3" s="4"/>
      <c r="E3" s="4"/>
    </row>
    <row r="4" customFormat="false" ht="9.75" hidden="false" customHeight="true" outlineLevel="0" collapsed="false"/>
    <row r="5" customFormat="false" ht="27.75" hidden="false" customHeight="true" outlineLevel="0" collapsed="false">
      <c r="B5" s="5" t="s">
        <v>2</v>
      </c>
      <c r="C5" s="5" t="s">
        <v>3</v>
      </c>
      <c r="D5" s="6" t="s">
        <v>4</v>
      </c>
      <c r="E5" s="5" t="s">
        <v>5</v>
      </c>
    </row>
    <row r="6" customFormat="false" ht="42" hidden="false" customHeight="true" outlineLevel="0" collapsed="false">
      <c r="B6" s="7" t="s">
        <v>6</v>
      </c>
      <c r="C6" s="8" t="s">
        <v>7</v>
      </c>
      <c r="D6" s="9" t="s">
        <v>8</v>
      </c>
      <c r="E6" s="10" t="s">
        <v>9</v>
      </c>
    </row>
    <row r="7" customFormat="false" ht="42" hidden="false" customHeight="true" outlineLevel="0" collapsed="false">
      <c r="B7" s="11" t="s">
        <v>10</v>
      </c>
      <c r="C7" s="8" t="s">
        <v>11</v>
      </c>
      <c r="D7" s="9" t="s">
        <v>12</v>
      </c>
      <c r="E7" s="10" t="s">
        <v>13</v>
      </c>
    </row>
    <row r="8" customFormat="false" ht="42" hidden="false" customHeight="true" outlineLevel="0" collapsed="false">
      <c r="B8" s="12" t="s">
        <v>14</v>
      </c>
      <c r="C8" s="8" t="s">
        <v>15</v>
      </c>
      <c r="D8" s="9" t="s">
        <v>16</v>
      </c>
      <c r="E8" s="10" t="s">
        <v>17</v>
      </c>
    </row>
    <row r="9" customFormat="false" ht="42" hidden="false" customHeight="true" outlineLevel="0" collapsed="false">
      <c r="B9" s="13" t="s">
        <v>18</v>
      </c>
      <c r="C9" s="8" t="s">
        <v>19</v>
      </c>
      <c r="D9" s="9" t="s">
        <v>20</v>
      </c>
      <c r="E9" s="10" t="s">
        <v>21</v>
      </c>
    </row>
    <row r="10" customFormat="false" ht="9.75" hidden="false" customHeight="true" outlineLevel="0" collapsed="false"/>
    <row r="11" customFormat="false" ht="19.5" hidden="false" customHeight="true" outlineLevel="0" collapsed="false">
      <c r="B11" s="14" t="s">
        <v>22</v>
      </c>
      <c r="C11" s="15" t="s">
        <v>23</v>
      </c>
      <c r="D11" s="2"/>
      <c r="E11" s="2"/>
    </row>
    <row r="12" customFormat="false" ht="19.5" hidden="false" customHeight="true" outlineLevel="0" collapsed="false">
      <c r="B12" s="14" t="s">
        <v>24</v>
      </c>
      <c r="C12" s="15" t="s">
        <v>25</v>
      </c>
      <c r="D12" s="2"/>
      <c r="E12" s="2"/>
    </row>
    <row r="13" customFormat="false" ht="19.5" hidden="false" customHeight="true" outlineLevel="0" collapsed="false">
      <c r="B13" s="14" t="s">
        <v>26</v>
      </c>
      <c r="C13" s="15" t="s">
        <v>27</v>
      </c>
      <c r="D13" s="2"/>
      <c r="E13" s="2"/>
    </row>
    <row r="14" customFormat="false" ht="19.5" hidden="false" customHeight="true" outlineLevel="0" collapsed="false">
      <c r="B14" s="14" t="s">
        <v>28</v>
      </c>
      <c r="C14" s="15" t="s">
        <v>29</v>
      </c>
      <c r="D14" s="2"/>
      <c r="E14" s="2"/>
    </row>
    <row r="15" customFormat="false" ht="19.5" hidden="false" customHeight="true" outlineLevel="0" collapsed="false">
      <c r="B15" s="14" t="s">
        <v>30</v>
      </c>
      <c r="C15" s="15" t="s">
        <v>31</v>
      </c>
      <c r="D15" s="2"/>
      <c r="E15" s="2"/>
    </row>
  </sheetData>
  <mergeCells count="8">
    <mergeCell ref="B1:E1"/>
    <mergeCell ref="B2:E2"/>
    <mergeCell ref="B3:E3"/>
    <mergeCell ref="D11:E11"/>
    <mergeCell ref="D12:E12"/>
    <mergeCell ref="D13:E13"/>
    <mergeCell ref="D14:E14"/>
    <mergeCell ref="D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4" min="3" style="1" width="38"/>
    <col collapsed="false" customWidth="true" hidden="false" outlineLevel="0" max="5" min="5" style="1" width="2"/>
  </cols>
  <sheetData>
    <row r="1" customFormat="false" ht="6" hidden="false" customHeight="true" outlineLevel="0" collapsed="false">
      <c r="B1" s="2"/>
      <c r="C1" s="2"/>
      <c r="D1" s="2"/>
    </row>
    <row r="2" customFormat="false" ht="37.5" hidden="false" customHeight="true" outlineLevel="0" collapsed="false">
      <c r="B2" s="16" t="s">
        <v>32</v>
      </c>
      <c r="C2" s="16"/>
      <c r="D2" s="16"/>
    </row>
    <row r="3" customFormat="false" ht="18" hidden="false" customHeight="true" outlineLevel="0" collapsed="false">
      <c r="B3" s="17" t="s">
        <v>33</v>
      </c>
      <c r="C3" s="17"/>
      <c r="D3" s="17"/>
    </row>
    <row r="4" customFormat="false" ht="7.5" hidden="false" customHeight="true" outlineLevel="0" collapsed="false"/>
    <row r="5" customFormat="false" ht="21.75" hidden="false" customHeight="true" outlineLevel="0" collapsed="false">
      <c r="B5" s="18" t="s">
        <v>34</v>
      </c>
      <c r="C5" s="19" t="s">
        <v>35</v>
      </c>
      <c r="D5" s="19"/>
    </row>
    <row r="6" customFormat="false" ht="7.5" hidden="false" customHeight="true" outlineLevel="0" collapsed="false"/>
    <row r="7" customFormat="false" ht="21.75" hidden="false" customHeight="true" outlineLevel="0" collapsed="false">
      <c r="B7" s="20" t="s">
        <v>36</v>
      </c>
      <c r="C7" s="20"/>
      <c r="D7" s="20"/>
    </row>
    <row r="8" customFormat="false" ht="21.75" hidden="false" customHeight="true" outlineLevel="0" collapsed="false">
      <c r="B8" s="21" t="s">
        <v>37</v>
      </c>
      <c r="C8" s="21" t="s">
        <v>38</v>
      </c>
      <c r="D8" s="21"/>
    </row>
    <row r="9" customFormat="false" ht="27.75" hidden="false" customHeight="true" outlineLevel="0" collapsed="false">
      <c r="B9" s="22" t="s">
        <v>39</v>
      </c>
      <c r="C9" s="23" t="s">
        <v>40</v>
      </c>
      <c r="D9" s="23"/>
    </row>
    <row r="10" customFormat="false" ht="27.75" hidden="false" customHeight="true" outlineLevel="0" collapsed="false">
      <c r="B10" s="24" t="s">
        <v>41</v>
      </c>
      <c r="C10" s="25" t="s">
        <v>42</v>
      </c>
      <c r="D10" s="25"/>
    </row>
    <row r="11" customFormat="false" ht="27.75" hidden="false" customHeight="true" outlineLevel="0" collapsed="false">
      <c r="B11" s="22" t="s">
        <v>43</v>
      </c>
      <c r="C11" s="23" t="s">
        <v>44</v>
      </c>
      <c r="D11" s="23"/>
    </row>
    <row r="12" customFormat="false" ht="27.75" hidden="false" customHeight="true" outlineLevel="0" collapsed="false">
      <c r="B12" s="24" t="s">
        <v>45</v>
      </c>
      <c r="C12" s="26" t="s">
        <v>46</v>
      </c>
      <c r="D12" s="26"/>
    </row>
    <row r="13" customFormat="false" ht="7.5" hidden="false" customHeight="true" outlineLevel="0" collapsed="false"/>
    <row r="14" customFormat="false" ht="21.75" hidden="false" customHeight="true" outlineLevel="0" collapsed="false">
      <c r="B14" s="20" t="s">
        <v>47</v>
      </c>
      <c r="C14" s="20"/>
      <c r="D14" s="20"/>
    </row>
    <row r="15" customFormat="false" ht="21.75" hidden="false" customHeight="true" outlineLevel="0" collapsed="false">
      <c r="B15" s="21" t="s">
        <v>48</v>
      </c>
      <c r="C15" s="21" t="s">
        <v>49</v>
      </c>
      <c r="D15" s="21"/>
    </row>
    <row r="16" customFormat="false" ht="24" hidden="false" customHeight="true" outlineLevel="0" collapsed="false">
      <c r="B16" s="27" t="s">
        <v>50</v>
      </c>
      <c r="C16" s="28" t="s">
        <v>51</v>
      </c>
      <c r="D16" s="28"/>
    </row>
    <row r="17" customFormat="false" ht="24" hidden="false" customHeight="true" outlineLevel="0" collapsed="false">
      <c r="B17" s="10" t="s">
        <v>52</v>
      </c>
      <c r="C17" s="29" t="s">
        <v>53</v>
      </c>
      <c r="D17" s="29"/>
    </row>
    <row r="18" customFormat="false" ht="24" hidden="false" customHeight="true" outlineLevel="0" collapsed="false">
      <c r="B18" s="27" t="s">
        <v>54</v>
      </c>
      <c r="C18" s="28" t="s">
        <v>55</v>
      </c>
      <c r="D18" s="28"/>
    </row>
    <row r="19" customFormat="false" ht="7.5" hidden="false" customHeight="true" outlineLevel="0" collapsed="false"/>
    <row r="20" customFormat="false" ht="21.75" hidden="false" customHeight="true" outlineLevel="0" collapsed="false">
      <c r="B20" s="20" t="s">
        <v>56</v>
      </c>
      <c r="C20" s="20"/>
      <c r="D20" s="20"/>
    </row>
    <row r="21" customFormat="false" ht="27.75" hidden="false" customHeight="true" outlineLevel="0" collapsed="false">
      <c r="B21" s="30" t="s">
        <v>6</v>
      </c>
      <c r="C21" s="31" t="s">
        <v>57</v>
      </c>
      <c r="D21" s="31"/>
    </row>
    <row r="22" customFormat="false" ht="27.75" hidden="false" customHeight="true" outlineLevel="0" collapsed="false">
      <c r="B22" s="32" t="s">
        <v>10</v>
      </c>
      <c r="C22" s="33" t="s">
        <v>58</v>
      </c>
      <c r="D22" s="33"/>
    </row>
    <row r="23" customFormat="false" ht="27.75" hidden="false" customHeight="true" outlineLevel="0" collapsed="false">
      <c r="B23" s="34" t="s">
        <v>14</v>
      </c>
      <c r="C23" s="33" t="s">
        <v>59</v>
      </c>
      <c r="D23" s="33"/>
    </row>
    <row r="24" customFormat="false" ht="24" hidden="false" customHeight="true" outlineLevel="0" collapsed="false">
      <c r="B24" s="35" t="s">
        <v>60</v>
      </c>
      <c r="C24" s="35"/>
      <c r="D24" s="35"/>
    </row>
  </sheetData>
  <mergeCells count="19">
    <mergeCell ref="B1:D1"/>
    <mergeCell ref="B2:D2"/>
    <mergeCell ref="B3:D3"/>
    <mergeCell ref="C5:D5"/>
    <mergeCell ref="B7:D7"/>
    <mergeCell ref="C8:D8"/>
    <mergeCell ref="C9:D9"/>
    <mergeCell ref="C10:D10"/>
    <mergeCell ref="C11:D11"/>
    <mergeCell ref="C12:D12"/>
    <mergeCell ref="B14:D14"/>
    <mergeCell ref="C16:D16"/>
    <mergeCell ref="C17:D17"/>
    <mergeCell ref="C18:D18"/>
    <mergeCell ref="B20:D20"/>
    <mergeCell ref="C21:D21"/>
    <mergeCell ref="C22:D22"/>
    <mergeCell ref="C23:D23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4" min="3" style="1" width="38"/>
    <col collapsed="false" customWidth="true" hidden="false" outlineLevel="0" max="5" min="5" style="1" width="2"/>
  </cols>
  <sheetData>
    <row r="1" customFormat="false" ht="6" hidden="false" customHeight="true" outlineLevel="0" collapsed="false">
      <c r="B1" s="2"/>
      <c r="C1" s="2"/>
      <c r="D1" s="2"/>
    </row>
    <row r="2" customFormat="false" ht="37.5" hidden="false" customHeight="true" outlineLevel="0" collapsed="false">
      <c r="B2" s="36" t="s">
        <v>61</v>
      </c>
      <c r="C2" s="36"/>
      <c r="D2" s="36"/>
    </row>
    <row r="3" customFormat="false" ht="18" hidden="false" customHeight="true" outlineLevel="0" collapsed="false">
      <c r="B3" s="17" t="s">
        <v>62</v>
      </c>
      <c r="C3" s="17"/>
      <c r="D3" s="17"/>
    </row>
    <row r="4" customFormat="false" ht="7.5" hidden="false" customHeight="true" outlineLevel="0" collapsed="false"/>
    <row r="5" customFormat="false" ht="21.75" hidden="false" customHeight="true" outlineLevel="0" collapsed="false">
      <c r="B5" s="37" t="s">
        <v>34</v>
      </c>
      <c r="C5" s="19" t="s">
        <v>63</v>
      </c>
      <c r="D5" s="19"/>
    </row>
    <row r="6" customFormat="false" ht="7.5" hidden="false" customHeight="true" outlineLevel="0" collapsed="false"/>
    <row r="7" customFormat="false" ht="21.75" hidden="false" customHeight="true" outlineLevel="0" collapsed="false">
      <c r="B7" s="38" t="s">
        <v>36</v>
      </c>
      <c r="C7" s="38"/>
      <c r="D7" s="38"/>
    </row>
    <row r="8" customFormat="false" ht="21.75" hidden="false" customHeight="true" outlineLevel="0" collapsed="false">
      <c r="B8" s="21" t="s">
        <v>37</v>
      </c>
      <c r="C8" s="21" t="s">
        <v>38</v>
      </c>
      <c r="D8" s="21"/>
    </row>
    <row r="9" customFormat="false" ht="27.75" hidden="false" customHeight="true" outlineLevel="0" collapsed="false">
      <c r="B9" s="39" t="s">
        <v>64</v>
      </c>
      <c r="C9" s="23" t="s">
        <v>65</v>
      </c>
      <c r="D9" s="23"/>
    </row>
    <row r="10" customFormat="false" ht="27.75" hidden="false" customHeight="true" outlineLevel="0" collapsed="false">
      <c r="B10" s="40" t="s">
        <v>66</v>
      </c>
      <c r="C10" s="26" t="s">
        <v>67</v>
      </c>
      <c r="D10" s="26"/>
    </row>
    <row r="11" customFormat="false" ht="27.75" hidden="false" customHeight="true" outlineLevel="0" collapsed="false">
      <c r="B11" s="41" t="s">
        <v>68</v>
      </c>
      <c r="C11" s="23" t="s">
        <v>69</v>
      </c>
      <c r="D11" s="23"/>
    </row>
    <row r="12" customFormat="false" ht="27.75" hidden="false" customHeight="true" outlineLevel="0" collapsed="false">
      <c r="B12" s="40" t="s">
        <v>70</v>
      </c>
      <c r="C12" s="26" t="s">
        <v>71</v>
      </c>
      <c r="D12" s="26"/>
    </row>
    <row r="13" customFormat="false" ht="7.5" hidden="false" customHeight="true" outlineLevel="0" collapsed="false"/>
    <row r="14" customFormat="false" ht="21.75" hidden="false" customHeight="true" outlineLevel="0" collapsed="false">
      <c r="B14" s="38" t="s">
        <v>72</v>
      </c>
      <c r="C14" s="38"/>
      <c r="D14" s="38"/>
    </row>
    <row r="15" customFormat="false" ht="21.75" hidden="false" customHeight="true" outlineLevel="0" collapsed="false">
      <c r="B15" s="21" t="s">
        <v>48</v>
      </c>
      <c r="C15" s="21" t="s">
        <v>49</v>
      </c>
      <c r="D15" s="21"/>
    </row>
    <row r="16" customFormat="false" ht="24" hidden="false" customHeight="true" outlineLevel="0" collapsed="false">
      <c r="B16" s="27" t="s">
        <v>73</v>
      </c>
      <c r="C16" s="28" t="s">
        <v>74</v>
      </c>
      <c r="D16" s="28"/>
    </row>
    <row r="17" customFormat="false" ht="24" hidden="false" customHeight="true" outlineLevel="0" collapsed="false">
      <c r="B17" s="10" t="s">
        <v>75</v>
      </c>
      <c r="C17" s="29" t="s">
        <v>76</v>
      </c>
      <c r="D17" s="29"/>
    </row>
    <row r="18" customFormat="false" ht="24" hidden="false" customHeight="true" outlineLevel="0" collapsed="false">
      <c r="B18" s="27" t="s">
        <v>77</v>
      </c>
      <c r="C18" s="28" t="s">
        <v>78</v>
      </c>
      <c r="D18" s="28"/>
    </row>
    <row r="19" customFormat="false" ht="24" hidden="false" customHeight="true" outlineLevel="0" collapsed="false">
      <c r="B19" s="10" t="s">
        <v>79</v>
      </c>
      <c r="C19" s="26"/>
      <c r="D19" s="26"/>
    </row>
    <row r="20" customFormat="false" ht="7.5" hidden="false" customHeight="true" outlineLevel="0" collapsed="false"/>
    <row r="21" customFormat="false" ht="21.75" hidden="false" customHeight="true" outlineLevel="0" collapsed="false">
      <c r="B21" s="38" t="s">
        <v>80</v>
      </c>
      <c r="C21" s="38"/>
      <c r="D21" s="38"/>
    </row>
    <row r="22" customFormat="false" ht="27.75" hidden="false" customHeight="true" outlineLevel="0" collapsed="false">
      <c r="B22" s="30" t="s">
        <v>6</v>
      </c>
      <c r="C22" s="33" t="s">
        <v>81</v>
      </c>
      <c r="D22" s="33"/>
    </row>
    <row r="23" customFormat="false" ht="27.75" hidden="false" customHeight="true" outlineLevel="0" collapsed="false">
      <c r="B23" s="32" t="s">
        <v>10</v>
      </c>
      <c r="C23" s="31" t="s">
        <v>57</v>
      </c>
      <c r="D23" s="31"/>
    </row>
    <row r="24" customFormat="false" ht="27.75" hidden="false" customHeight="true" outlineLevel="0" collapsed="false">
      <c r="B24" s="34" t="s">
        <v>14</v>
      </c>
      <c r="C24" s="33" t="s">
        <v>82</v>
      </c>
      <c r="D24" s="33"/>
    </row>
    <row r="25" customFormat="false" ht="24" hidden="false" customHeight="true" outlineLevel="0" collapsed="false">
      <c r="B25" s="35" t="s">
        <v>60</v>
      </c>
      <c r="C25" s="35"/>
      <c r="D25" s="35"/>
    </row>
  </sheetData>
  <mergeCells count="20">
    <mergeCell ref="B1:D1"/>
    <mergeCell ref="B2:D2"/>
    <mergeCell ref="B3:D3"/>
    <mergeCell ref="C5:D5"/>
    <mergeCell ref="B7:D7"/>
    <mergeCell ref="C8:D8"/>
    <mergeCell ref="C9:D9"/>
    <mergeCell ref="C10:D10"/>
    <mergeCell ref="C11:D11"/>
    <mergeCell ref="C12:D12"/>
    <mergeCell ref="B14:D14"/>
    <mergeCell ref="C16:D16"/>
    <mergeCell ref="C17:D17"/>
    <mergeCell ref="C18:D18"/>
    <mergeCell ref="C19:D19"/>
    <mergeCell ref="B21:D21"/>
    <mergeCell ref="C22:D22"/>
    <mergeCell ref="C23:D23"/>
    <mergeCell ref="C24:D2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4" min="3" style="1" width="38"/>
    <col collapsed="false" customWidth="true" hidden="false" outlineLevel="0" max="5" min="5" style="1" width="2"/>
  </cols>
  <sheetData>
    <row r="1" customFormat="false" ht="6" hidden="false" customHeight="true" outlineLevel="0" collapsed="false">
      <c r="B1" s="2"/>
      <c r="C1" s="2"/>
      <c r="D1" s="2"/>
    </row>
    <row r="2" customFormat="false" ht="37.5" hidden="false" customHeight="true" outlineLevel="0" collapsed="false">
      <c r="B2" s="42" t="s">
        <v>83</v>
      </c>
      <c r="C2" s="42"/>
      <c r="D2" s="42"/>
    </row>
    <row r="3" customFormat="false" ht="18" hidden="false" customHeight="true" outlineLevel="0" collapsed="false">
      <c r="B3" s="17" t="s">
        <v>84</v>
      </c>
      <c r="C3" s="17"/>
      <c r="D3" s="17"/>
    </row>
    <row r="4" customFormat="false" ht="7.5" hidden="false" customHeight="true" outlineLevel="0" collapsed="false"/>
    <row r="5" customFormat="false" ht="21.75" hidden="false" customHeight="true" outlineLevel="0" collapsed="false">
      <c r="B5" s="43" t="s">
        <v>34</v>
      </c>
      <c r="C5" s="19" t="s">
        <v>85</v>
      </c>
      <c r="D5" s="19"/>
    </row>
    <row r="6" customFormat="false" ht="7.5" hidden="false" customHeight="true" outlineLevel="0" collapsed="false"/>
    <row r="7" customFormat="false" ht="21.75" hidden="false" customHeight="true" outlineLevel="0" collapsed="false">
      <c r="B7" s="44" t="s">
        <v>36</v>
      </c>
      <c r="C7" s="44"/>
      <c r="D7" s="44"/>
    </row>
    <row r="8" customFormat="false" ht="21.75" hidden="false" customHeight="true" outlineLevel="0" collapsed="false">
      <c r="B8" s="21" t="s">
        <v>37</v>
      </c>
      <c r="C8" s="21" t="s">
        <v>38</v>
      </c>
      <c r="D8" s="21"/>
    </row>
    <row r="9" customFormat="false" ht="27.75" hidden="false" customHeight="true" outlineLevel="0" collapsed="false">
      <c r="B9" s="45" t="s">
        <v>86</v>
      </c>
      <c r="C9" s="23" t="s">
        <v>87</v>
      </c>
      <c r="D9" s="23"/>
    </row>
    <row r="10" customFormat="false" ht="27.75" hidden="false" customHeight="true" outlineLevel="0" collapsed="false">
      <c r="B10" s="46" t="s">
        <v>88</v>
      </c>
      <c r="C10" s="26" t="s">
        <v>89</v>
      </c>
      <c r="D10" s="26"/>
    </row>
    <row r="11" customFormat="false" ht="27.75" hidden="false" customHeight="true" outlineLevel="0" collapsed="false">
      <c r="B11" s="47" t="s">
        <v>90</v>
      </c>
      <c r="C11" s="23" t="s">
        <v>91</v>
      </c>
      <c r="D11" s="23"/>
    </row>
    <row r="12" customFormat="false" ht="27.75" hidden="false" customHeight="true" outlineLevel="0" collapsed="false">
      <c r="B12" s="46" t="s">
        <v>92</v>
      </c>
      <c r="C12" s="26" t="s">
        <v>93</v>
      </c>
      <c r="D12" s="26"/>
    </row>
    <row r="13" customFormat="false" ht="7.5" hidden="false" customHeight="true" outlineLevel="0" collapsed="false"/>
    <row r="14" customFormat="false" ht="21.75" hidden="false" customHeight="true" outlineLevel="0" collapsed="false">
      <c r="B14" s="44" t="s">
        <v>94</v>
      </c>
      <c r="C14" s="44"/>
      <c r="D14" s="44"/>
    </row>
    <row r="15" customFormat="false" ht="21.75" hidden="false" customHeight="true" outlineLevel="0" collapsed="false">
      <c r="B15" s="21" t="s">
        <v>48</v>
      </c>
      <c r="C15" s="21" t="s">
        <v>49</v>
      </c>
      <c r="D15" s="21"/>
    </row>
    <row r="16" customFormat="false" ht="24" hidden="false" customHeight="true" outlineLevel="0" collapsed="false">
      <c r="B16" s="27" t="s">
        <v>95</v>
      </c>
      <c r="C16" s="28" t="s">
        <v>96</v>
      </c>
      <c r="D16" s="28"/>
    </row>
    <row r="17" customFormat="false" ht="24" hidden="false" customHeight="true" outlineLevel="0" collapsed="false">
      <c r="B17" s="10" t="s">
        <v>97</v>
      </c>
      <c r="C17" s="48" t="s">
        <v>98</v>
      </c>
      <c r="D17" s="48"/>
    </row>
    <row r="18" customFormat="false" ht="24" hidden="false" customHeight="true" outlineLevel="0" collapsed="false">
      <c r="B18" s="27" t="s">
        <v>99</v>
      </c>
      <c r="C18" s="49" t="s">
        <v>100</v>
      </c>
      <c r="D18" s="49"/>
    </row>
    <row r="19" customFormat="false" ht="7.5" hidden="false" customHeight="true" outlineLevel="0" collapsed="false"/>
    <row r="20" customFormat="false" ht="21.75" hidden="false" customHeight="true" outlineLevel="0" collapsed="false">
      <c r="B20" s="44" t="s">
        <v>101</v>
      </c>
      <c r="C20" s="44"/>
      <c r="D20" s="44"/>
    </row>
    <row r="21" customFormat="false" ht="27.75" hidden="false" customHeight="true" outlineLevel="0" collapsed="false">
      <c r="B21" s="30" t="s">
        <v>6</v>
      </c>
      <c r="C21" s="33" t="s">
        <v>102</v>
      </c>
      <c r="D21" s="33"/>
    </row>
    <row r="22" customFormat="false" ht="27.75" hidden="false" customHeight="true" outlineLevel="0" collapsed="false">
      <c r="B22" s="32" t="s">
        <v>10</v>
      </c>
      <c r="C22" s="50" t="s">
        <v>103</v>
      </c>
      <c r="D22" s="50"/>
    </row>
    <row r="23" customFormat="false" ht="27.75" hidden="false" customHeight="true" outlineLevel="0" collapsed="false">
      <c r="B23" s="34" t="s">
        <v>14</v>
      </c>
      <c r="C23" s="31" t="s">
        <v>57</v>
      </c>
      <c r="D23" s="31"/>
    </row>
    <row r="24" customFormat="false" ht="24" hidden="false" customHeight="true" outlineLevel="0" collapsed="false">
      <c r="B24" s="35" t="s">
        <v>60</v>
      </c>
      <c r="C24" s="35"/>
      <c r="D24" s="35"/>
    </row>
  </sheetData>
  <mergeCells count="19">
    <mergeCell ref="B1:D1"/>
    <mergeCell ref="B2:D2"/>
    <mergeCell ref="B3:D3"/>
    <mergeCell ref="C5:D5"/>
    <mergeCell ref="B7:D7"/>
    <mergeCell ref="C8:D8"/>
    <mergeCell ref="C9:D9"/>
    <mergeCell ref="C10:D10"/>
    <mergeCell ref="C11:D11"/>
    <mergeCell ref="C12:D12"/>
    <mergeCell ref="B14:D14"/>
    <mergeCell ref="C16:D16"/>
    <mergeCell ref="C17:D17"/>
    <mergeCell ref="C18:D18"/>
    <mergeCell ref="B20:D20"/>
    <mergeCell ref="C21:D21"/>
    <mergeCell ref="C22:D22"/>
    <mergeCell ref="C23:D23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4" min="3" style="1" width="38"/>
    <col collapsed="false" customWidth="true" hidden="false" outlineLevel="0" max="5" min="5" style="1" width="2"/>
  </cols>
  <sheetData>
    <row r="1" customFormat="false" ht="6" hidden="false" customHeight="true" outlineLevel="0" collapsed="false">
      <c r="B1" s="2"/>
      <c r="C1" s="2"/>
      <c r="D1" s="2"/>
    </row>
    <row r="2" customFormat="false" ht="37.5" hidden="false" customHeight="true" outlineLevel="0" collapsed="false">
      <c r="B2" s="51" t="s">
        <v>104</v>
      </c>
      <c r="C2" s="51"/>
      <c r="D2" s="51"/>
    </row>
    <row r="3" customFormat="false" ht="18" hidden="false" customHeight="true" outlineLevel="0" collapsed="false">
      <c r="B3" s="17" t="s">
        <v>105</v>
      </c>
      <c r="C3" s="17"/>
      <c r="D3" s="17"/>
    </row>
    <row r="4" customFormat="false" ht="7.5" hidden="false" customHeight="true" outlineLevel="0" collapsed="false"/>
    <row r="5" customFormat="false" ht="21.75" hidden="false" customHeight="true" outlineLevel="0" collapsed="false">
      <c r="B5" s="52" t="s">
        <v>34</v>
      </c>
      <c r="C5" s="19" t="s">
        <v>106</v>
      </c>
      <c r="D5" s="19"/>
    </row>
    <row r="6" customFormat="false" ht="7.5" hidden="false" customHeight="true" outlineLevel="0" collapsed="false"/>
    <row r="7" customFormat="false" ht="21.75" hidden="false" customHeight="true" outlineLevel="0" collapsed="false">
      <c r="B7" s="53" t="s">
        <v>36</v>
      </c>
      <c r="C7" s="53"/>
      <c r="D7" s="53"/>
    </row>
    <row r="8" customFormat="false" ht="21.75" hidden="false" customHeight="true" outlineLevel="0" collapsed="false">
      <c r="B8" s="21" t="s">
        <v>37</v>
      </c>
      <c r="C8" s="21" t="s">
        <v>38</v>
      </c>
      <c r="D8" s="21"/>
    </row>
    <row r="9" customFormat="false" ht="27.75" hidden="false" customHeight="true" outlineLevel="0" collapsed="false">
      <c r="B9" s="54" t="s">
        <v>107</v>
      </c>
      <c r="C9" s="55" t="s">
        <v>108</v>
      </c>
      <c r="D9" s="55"/>
    </row>
    <row r="10" customFormat="false" ht="27.75" hidden="false" customHeight="true" outlineLevel="0" collapsed="false">
      <c r="B10" s="56" t="s">
        <v>109</v>
      </c>
      <c r="C10" s="26" t="s">
        <v>110</v>
      </c>
      <c r="D10" s="26"/>
    </row>
    <row r="11" customFormat="false" ht="27.75" hidden="false" customHeight="true" outlineLevel="0" collapsed="false">
      <c r="B11" s="54" t="s">
        <v>111</v>
      </c>
      <c r="C11" s="55" t="s">
        <v>112</v>
      </c>
      <c r="D11" s="55"/>
    </row>
    <row r="12" customFormat="false" ht="27.75" hidden="false" customHeight="true" outlineLevel="0" collapsed="false">
      <c r="B12" s="56" t="s">
        <v>113</v>
      </c>
      <c r="C12" s="26" t="s">
        <v>114</v>
      </c>
      <c r="D12" s="26"/>
    </row>
    <row r="13" customFormat="false" ht="27.75" hidden="false" customHeight="true" outlineLevel="0" collapsed="false">
      <c r="B13" s="54" t="s">
        <v>115</v>
      </c>
      <c r="C13" s="23" t="s">
        <v>116</v>
      </c>
      <c r="D13" s="23"/>
    </row>
    <row r="14" customFormat="false" ht="27.75" hidden="false" customHeight="true" outlineLevel="0" collapsed="false">
      <c r="B14" s="56" t="s">
        <v>117</v>
      </c>
      <c r="C14" s="26" t="s">
        <v>118</v>
      </c>
      <c r="D14" s="26"/>
    </row>
    <row r="15" customFormat="false" ht="7.5" hidden="false" customHeight="true" outlineLevel="0" collapsed="false"/>
    <row r="16" customFormat="false" ht="21.75" hidden="false" customHeight="true" outlineLevel="0" collapsed="false">
      <c r="B16" s="53" t="s">
        <v>119</v>
      </c>
      <c r="C16" s="53"/>
      <c r="D16" s="53"/>
    </row>
    <row r="17" customFormat="false" ht="21.75" hidden="false" customHeight="true" outlineLevel="0" collapsed="false">
      <c r="B17" s="21" t="s">
        <v>48</v>
      </c>
      <c r="C17" s="21" t="s">
        <v>49</v>
      </c>
      <c r="D17" s="21"/>
    </row>
    <row r="18" customFormat="false" ht="24" hidden="false" customHeight="true" outlineLevel="0" collapsed="false">
      <c r="B18" s="27" t="s">
        <v>120</v>
      </c>
      <c r="C18" s="28" t="s">
        <v>121</v>
      </c>
      <c r="D18" s="28"/>
    </row>
    <row r="19" customFormat="false" ht="24" hidden="false" customHeight="true" outlineLevel="0" collapsed="false">
      <c r="B19" s="10" t="s">
        <v>122</v>
      </c>
      <c r="C19" s="29" t="s">
        <v>123</v>
      </c>
      <c r="D19" s="29"/>
    </row>
    <row r="20" customFormat="false" ht="24" hidden="false" customHeight="true" outlineLevel="0" collapsed="false">
      <c r="B20" s="27" t="s">
        <v>124</v>
      </c>
      <c r="C20" s="28" t="s">
        <v>125</v>
      </c>
      <c r="D20" s="28"/>
    </row>
    <row r="21" customFormat="false" ht="7.5" hidden="false" customHeight="true" outlineLevel="0" collapsed="false"/>
    <row r="22" customFormat="false" ht="21.75" hidden="false" customHeight="true" outlineLevel="0" collapsed="false">
      <c r="B22" s="53" t="s">
        <v>126</v>
      </c>
      <c r="C22" s="53"/>
      <c r="D22" s="53"/>
    </row>
    <row r="23" customFormat="false" ht="27.75" hidden="false" customHeight="true" outlineLevel="0" collapsed="false">
      <c r="B23" s="30" t="s">
        <v>6</v>
      </c>
      <c r="C23" s="33" t="s">
        <v>127</v>
      </c>
      <c r="D23" s="33"/>
    </row>
    <row r="24" customFormat="false" ht="27.75" hidden="false" customHeight="true" outlineLevel="0" collapsed="false">
      <c r="B24" s="32" t="s">
        <v>10</v>
      </c>
      <c r="C24" s="33" t="s">
        <v>128</v>
      </c>
      <c r="D24" s="33"/>
    </row>
    <row r="25" customFormat="false" ht="27.75" hidden="false" customHeight="true" outlineLevel="0" collapsed="false">
      <c r="B25" s="34" t="s">
        <v>14</v>
      </c>
      <c r="C25" s="33" t="s">
        <v>129</v>
      </c>
      <c r="D25" s="33"/>
    </row>
    <row r="26" customFormat="false" ht="24" hidden="false" customHeight="true" outlineLevel="0" collapsed="false">
      <c r="B26" s="35" t="s">
        <v>60</v>
      </c>
      <c r="C26" s="35"/>
      <c r="D26" s="35"/>
    </row>
  </sheetData>
  <mergeCells count="21">
    <mergeCell ref="B1:D1"/>
    <mergeCell ref="B2:D2"/>
    <mergeCell ref="B3:D3"/>
    <mergeCell ref="C5:D5"/>
    <mergeCell ref="B7:D7"/>
    <mergeCell ref="C8:D8"/>
    <mergeCell ref="C9:D9"/>
    <mergeCell ref="C10:D10"/>
    <mergeCell ref="C11:D11"/>
    <mergeCell ref="C12:D12"/>
    <mergeCell ref="C13:D13"/>
    <mergeCell ref="C14:D14"/>
    <mergeCell ref="B16:D16"/>
    <mergeCell ref="C18:D18"/>
    <mergeCell ref="C19:D19"/>
    <mergeCell ref="C20:D20"/>
    <mergeCell ref="B22:D22"/>
    <mergeCell ref="C23:D23"/>
    <mergeCell ref="C24:D24"/>
    <mergeCell ref="C25:D25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5" min="2" style="1" width="24"/>
    <col collapsed="false" customWidth="true" hidden="false" outlineLevel="0" max="6" min="6" style="1" width="2"/>
  </cols>
  <sheetData>
    <row r="1" customFormat="false" ht="6" hidden="false" customHeight="true" outlineLevel="0" collapsed="false">
      <c r="B1" s="2"/>
      <c r="C1" s="2"/>
      <c r="D1" s="2"/>
      <c r="E1" s="2"/>
    </row>
    <row r="2" customFormat="false" ht="36" hidden="false" customHeight="true" outlineLevel="0" collapsed="false">
      <c r="B2" s="57" t="s">
        <v>130</v>
      </c>
      <c r="C2" s="57"/>
      <c r="D2" s="57"/>
      <c r="E2" s="57"/>
    </row>
    <row r="3" customFormat="false" ht="19.5" hidden="false" customHeight="true" outlineLevel="0" collapsed="false">
      <c r="B3" s="58" t="s">
        <v>131</v>
      </c>
      <c r="C3" s="58"/>
      <c r="D3" s="58"/>
      <c r="E3" s="58"/>
    </row>
    <row r="4" customFormat="false" ht="9.75" hidden="false" customHeight="true" outlineLevel="0" collapsed="false"/>
    <row r="5" customFormat="false" ht="25.5" hidden="false" customHeight="true" outlineLevel="0" collapsed="false">
      <c r="B5" s="59" t="s">
        <v>132</v>
      </c>
      <c r="C5" s="60" t="s">
        <v>133</v>
      </c>
      <c r="D5" s="61" t="s">
        <v>134</v>
      </c>
      <c r="E5" s="62" t="s">
        <v>135</v>
      </c>
      <c r="F5" s="63" t="s">
        <v>136</v>
      </c>
    </row>
    <row r="6" customFormat="false" ht="51.75" hidden="false" customHeight="true" outlineLevel="0" collapsed="false">
      <c r="B6" s="64" t="s">
        <v>137</v>
      </c>
      <c r="C6" s="65" t="s">
        <v>138</v>
      </c>
      <c r="D6" s="66" t="s">
        <v>139</v>
      </c>
      <c r="E6" s="67" t="s">
        <v>140</v>
      </c>
      <c r="F6" s="68" t="s">
        <v>141</v>
      </c>
    </row>
    <row r="7" customFormat="false" ht="51.75" hidden="false" customHeight="true" outlineLevel="0" collapsed="false">
      <c r="B7" s="69" t="s">
        <v>142</v>
      </c>
      <c r="C7" s="70" t="s">
        <v>143</v>
      </c>
      <c r="D7" s="71" t="s">
        <v>144</v>
      </c>
      <c r="E7" s="72" t="s">
        <v>145</v>
      </c>
      <c r="F7" s="73" t="s">
        <v>146</v>
      </c>
    </row>
    <row r="8" customFormat="false" ht="51.75" hidden="false" customHeight="true" outlineLevel="0" collapsed="false">
      <c r="B8" s="64" t="s">
        <v>147</v>
      </c>
      <c r="C8" s="65" t="s">
        <v>148</v>
      </c>
      <c r="D8" s="74" t="s">
        <v>149</v>
      </c>
      <c r="E8" s="67" t="s">
        <v>150</v>
      </c>
      <c r="F8" s="68" t="s">
        <v>151</v>
      </c>
    </row>
    <row r="9" customFormat="false" ht="51.75" hidden="false" customHeight="true" outlineLevel="0" collapsed="false">
      <c r="B9" s="69" t="s">
        <v>152</v>
      </c>
      <c r="C9" s="70" t="s">
        <v>153</v>
      </c>
      <c r="D9" s="71" t="s">
        <v>154</v>
      </c>
      <c r="E9" s="72" t="s">
        <v>155</v>
      </c>
      <c r="F9" s="73" t="s">
        <v>156</v>
      </c>
    </row>
    <row r="10" customFormat="false" ht="51.75" hidden="false" customHeight="true" outlineLevel="0" collapsed="false">
      <c r="B10" s="64" t="s">
        <v>157</v>
      </c>
      <c r="C10" s="65" t="s">
        <v>158</v>
      </c>
      <c r="D10" s="66" t="s">
        <v>159</v>
      </c>
      <c r="E10" s="75" t="s">
        <v>160</v>
      </c>
      <c r="F10" s="68" t="s">
        <v>161</v>
      </c>
    </row>
    <row r="11" customFormat="false" ht="9.75" hidden="false" customHeight="true" outlineLevel="0" collapsed="false"/>
    <row r="12" customFormat="false" ht="25.5" hidden="false" customHeight="true" outlineLevel="0" collapsed="false">
      <c r="B12" s="76" t="s">
        <v>162</v>
      </c>
      <c r="C12" s="76"/>
      <c r="D12" s="76"/>
      <c r="E12" s="76"/>
    </row>
  </sheetData>
  <mergeCells count="4">
    <mergeCell ref="B1:E1"/>
    <mergeCell ref="B2:E2"/>
    <mergeCell ref="B3:E3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7" min="3" style="0" width="16"/>
    <col collapsed="false" customWidth="true" hidden="false" outlineLevel="0" max="8" min="8" style="0" width="2"/>
  </cols>
  <sheetData>
    <row r="1" customFormat="false" ht="6" hidden="false" customHeight="true" outlineLevel="0" collapsed="false">
      <c r="B1" s="77" t="s">
        <v>163</v>
      </c>
      <c r="C1" s="77"/>
      <c r="D1" s="77"/>
      <c r="E1" s="77"/>
      <c r="F1" s="77"/>
      <c r="G1" s="77"/>
    </row>
    <row r="2" customFormat="false" ht="33.75" hidden="false" customHeight="true" outlineLevel="0" collapsed="false">
      <c r="B2" s="78" t="s">
        <v>164</v>
      </c>
      <c r="C2" s="78"/>
      <c r="D2" s="78"/>
      <c r="E2" s="78"/>
      <c r="F2" s="78"/>
      <c r="G2" s="78"/>
    </row>
    <row r="3" customFormat="false" ht="7.5" hidden="false" customHeight="true" outlineLevel="0" collapsed="false"/>
    <row r="4" customFormat="false" ht="24" hidden="false" customHeight="true" outlineLevel="0" collapsed="false">
      <c r="B4" s="38" t="s">
        <v>165</v>
      </c>
      <c r="C4" s="38"/>
      <c r="D4" s="38"/>
      <c r="E4" s="38"/>
      <c r="F4" s="38"/>
      <c r="G4" s="38"/>
    </row>
    <row r="5" customFormat="false" ht="21.75" hidden="false" customHeight="true" outlineLevel="0" collapsed="false">
      <c r="B5" s="14" t="s">
        <v>166</v>
      </c>
      <c r="C5" s="79" t="n">
        <v>300000</v>
      </c>
      <c r="D5" s="14" t="s">
        <v>167</v>
      </c>
      <c r="E5" s="80" t="n">
        <v>5000</v>
      </c>
    </row>
    <row r="6" customFormat="false" ht="21.75" hidden="false" customHeight="true" outlineLevel="0" collapsed="false">
      <c r="B6" s="14" t="s">
        <v>168</v>
      </c>
      <c r="C6" s="80" t="n">
        <v>0.08</v>
      </c>
      <c r="D6" s="14" t="s">
        <v>169</v>
      </c>
      <c r="E6" s="79" t="n">
        <v>20</v>
      </c>
    </row>
    <row r="7" customFormat="false" ht="21.75" hidden="false" customHeight="true" outlineLevel="0" collapsed="false">
      <c r="B7" s="14" t="s">
        <v>170</v>
      </c>
      <c r="C7" s="80" t="n">
        <v>0.02</v>
      </c>
      <c r="D7" s="14" t="s">
        <v>171</v>
      </c>
      <c r="E7" s="80" t="n">
        <v>0.01</v>
      </c>
    </row>
    <row r="8" customFormat="false" ht="7.5" hidden="false" customHeight="true" outlineLevel="0" collapsed="false"/>
    <row r="9" customFormat="false" ht="24" hidden="false" customHeight="true" outlineLevel="0" collapsed="false">
      <c r="B9" s="44" t="s">
        <v>172</v>
      </c>
      <c r="C9" s="44"/>
      <c r="D9" s="44"/>
      <c r="E9" s="44"/>
      <c r="F9" s="44"/>
      <c r="G9" s="44"/>
    </row>
    <row r="10" customFormat="false" ht="24" hidden="false" customHeight="true" outlineLevel="0" collapsed="false">
      <c r="B10" s="21" t="s">
        <v>173</v>
      </c>
      <c r="C10" s="81" t="s">
        <v>174</v>
      </c>
      <c r="D10" s="82" t="s">
        <v>175</v>
      </c>
      <c r="E10" s="83" t="s">
        <v>176</v>
      </c>
      <c r="F10" s="21" t="s">
        <v>177</v>
      </c>
      <c r="G10" s="84" t="s">
        <v>178</v>
      </c>
    </row>
    <row r="11" customFormat="false" ht="19.5" hidden="false" customHeight="true" outlineLevel="0" collapsed="false">
      <c r="B11" s="85" t="n">
        <v>1</v>
      </c>
      <c r="C11" s="86" t="n">
        <f aca="false">C5</f>
        <v>300000</v>
      </c>
      <c r="D11" s="86" t="n">
        <f aca="false">E5*12</f>
        <v>60000</v>
      </c>
      <c r="E11" s="87" t="n">
        <f aca="false">(C11+D11/2)*C6</f>
        <v>26400</v>
      </c>
      <c r="F11" s="86" t="n">
        <f aca="false">C11+D11+E11</f>
        <v>386400</v>
      </c>
      <c r="G11" s="88" t="n">
        <f aca="false">F11/(1+C7)^B11</f>
        <v>378823.529411765</v>
      </c>
    </row>
    <row r="12" customFormat="false" ht="19.5" hidden="false" customHeight="true" outlineLevel="0" collapsed="false">
      <c r="B12" s="89" t="n">
        <v>2</v>
      </c>
      <c r="C12" s="90" t="n">
        <f aca="false">F11</f>
        <v>386400</v>
      </c>
      <c r="D12" s="90" t="n">
        <f aca="false">E5*12</f>
        <v>60000</v>
      </c>
      <c r="E12" s="91" t="n">
        <f aca="false">(C12+D12/2)*C6</f>
        <v>33312</v>
      </c>
      <c r="F12" s="90" t="n">
        <f aca="false">C12+D12+E12</f>
        <v>479712</v>
      </c>
      <c r="G12" s="92" t="n">
        <f aca="false">F12/(1+C7)^B12</f>
        <v>461084.198385236</v>
      </c>
    </row>
    <row r="13" customFormat="false" ht="19.5" hidden="false" customHeight="true" outlineLevel="0" collapsed="false">
      <c r="B13" s="85" t="n">
        <v>3</v>
      </c>
      <c r="C13" s="86" t="n">
        <f aca="false">F12</f>
        <v>479712</v>
      </c>
      <c r="D13" s="86" t="n">
        <f aca="false">E5*12</f>
        <v>60000</v>
      </c>
      <c r="E13" s="87" t="n">
        <f aca="false">(C13+D13/2)*C6</f>
        <v>40776.96</v>
      </c>
      <c r="F13" s="86" t="n">
        <f aca="false">C13+D13+E13</f>
        <v>580488.96</v>
      </c>
      <c r="G13" s="88" t="n">
        <f aca="false">F13/(1+C7)^B13</f>
        <v>547007.711965986</v>
      </c>
    </row>
    <row r="14" customFormat="false" ht="19.5" hidden="false" customHeight="true" outlineLevel="0" collapsed="false">
      <c r="B14" s="89" t="n">
        <v>4</v>
      </c>
      <c r="C14" s="90" t="n">
        <f aca="false">F13</f>
        <v>580488.96</v>
      </c>
      <c r="D14" s="90" t="n">
        <f aca="false">E5*12</f>
        <v>60000</v>
      </c>
      <c r="E14" s="91" t="n">
        <f aca="false">(C14+D14/2)*C6</f>
        <v>48839.1168</v>
      </c>
      <c r="F14" s="90" t="n">
        <f aca="false">C14+D14+E14</f>
        <v>689328.0768</v>
      </c>
      <c r="G14" s="92" t="n">
        <f aca="false">F14/(1+C7)^B14</f>
        <v>636832.590783334</v>
      </c>
    </row>
    <row r="15" customFormat="false" ht="19.5" hidden="false" customHeight="true" outlineLevel="0" collapsed="false">
      <c r="B15" s="93" t="n">
        <v>5</v>
      </c>
      <c r="C15" s="86" t="n">
        <f aca="false">F14</f>
        <v>689328.0768</v>
      </c>
      <c r="D15" s="86" t="n">
        <f aca="false">E5*12</f>
        <v>60000</v>
      </c>
      <c r="E15" s="87" t="n">
        <f aca="false">(C15+D15/2)*C6</f>
        <v>57546.246144</v>
      </c>
      <c r="F15" s="94" t="n">
        <f aca="false">C15+D15+E15</f>
        <v>806874.322944</v>
      </c>
      <c r="G15" s="88" t="n">
        <f aca="false">F15/(1+C7)^B15</f>
        <v>730810.933951034</v>
      </c>
    </row>
    <row r="16" customFormat="false" ht="19.5" hidden="false" customHeight="true" outlineLevel="0" collapsed="false">
      <c r="B16" s="89" t="n">
        <v>6</v>
      </c>
      <c r="C16" s="90" t="n">
        <f aca="false">F15</f>
        <v>806874.322944</v>
      </c>
      <c r="D16" s="90" t="n">
        <f aca="false">E5*12</f>
        <v>60000</v>
      </c>
      <c r="E16" s="91" t="n">
        <f aca="false">(C16+D16/2)*C6</f>
        <v>66949.94583552</v>
      </c>
      <c r="F16" s="90" t="n">
        <f aca="false">C16+D16+E16</f>
        <v>933824.26877952</v>
      </c>
      <c r="G16" s="92" t="n">
        <f aca="false">F16/(1+C7)^B16</f>
        <v>829209.22666716</v>
      </c>
    </row>
    <row r="17" customFormat="false" ht="19.5" hidden="false" customHeight="true" outlineLevel="0" collapsed="false">
      <c r="B17" s="85" t="n">
        <v>7</v>
      </c>
      <c r="C17" s="86" t="n">
        <f aca="false">F16</f>
        <v>933824.26877952</v>
      </c>
      <c r="D17" s="86" t="n">
        <f aca="false">E5*12</f>
        <v>60000</v>
      </c>
      <c r="E17" s="87" t="n">
        <f aca="false">(C17+D17/2)*C6</f>
        <v>77105.9415023616</v>
      </c>
      <c r="F17" s="86" t="n">
        <f aca="false">C17+D17+E17</f>
        <v>1070930.21028188</v>
      </c>
      <c r="G17" s="88" t="n">
        <f aca="false">F17/(1+C7)^B17</f>
        <v>932309.195146031</v>
      </c>
    </row>
    <row r="18" customFormat="false" ht="19.5" hidden="false" customHeight="true" outlineLevel="0" collapsed="false">
      <c r="B18" s="89" t="n">
        <v>8</v>
      </c>
      <c r="C18" s="90" t="n">
        <f aca="false">F17</f>
        <v>1070930.21028188</v>
      </c>
      <c r="D18" s="90" t="n">
        <f aca="false">E5*12</f>
        <v>60000</v>
      </c>
      <c r="E18" s="91" t="n">
        <f aca="false">(C18+D18/2)*C6</f>
        <v>88074.4168225505</v>
      </c>
      <c r="F18" s="90" t="n">
        <f aca="false">C18+D18+E18</f>
        <v>1219004.62710443</v>
      </c>
      <c r="G18" s="92" t="n">
        <f aca="false">F18/(1+C7)^B18</f>
        <v>1040408.71166983</v>
      </c>
    </row>
    <row r="19" customFormat="false" ht="19.5" hidden="false" customHeight="true" outlineLevel="0" collapsed="false">
      <c r="B19" s="85" t="n">
        <v>9</v>
      </c>
      <c r="C19" s="86" t="n">
        <f aca="false">F18</f>
        <v>1219004.62710443</v>
      </c>
      <c r="D19" s="86" t="n">
        <f aca="false">E5*12</f>
        <v>60000</v>
      </c>
      <c r="E19" s="87" t="n">
        <f aca="false">(C19+D19/2)*C6</f>
        <v>99920.3701683546</v>
      </c>
      <c r="F19" s="86" t="n">
        <f aca="false">C19+D19+E19</f>
        <v>1378924.99727279</v>
      </c>
      <c r="G19" s="88" t="n">
        <f aca="false">F19/(1+C7)^B19</f>
        <v>1153822.75271145</v>
      </c>
    </row>
    <row r="20" customFormat="false" ht="19.5" hidden="false" customHeight="true" outlineLevel="0" collapsed="false">
      <c r="B20" s="95" t="n">
        <v>10</v>
      </c>
      <c r="C20" s="90" t="n">
        <f aca="false">F19</f>
        <v>1378924.99727279</v>
      </c>
      <c r="D20" s="90" t="n">
        <f aca="false">E5*12</f>
        <v>60000</v>
      </c>
      <c r="E20" s="91" t="n">
        <f aca="false">(C20+D20/2)*C6</f>
        <v>112713.999781823</v>
      </c>
      <c r="F20" s="94" t="n">
        <f aca="false">C20+D20+E20</f>
        <v>1551638.99705461</v>
      </c>
      <c r="G20" s="92" t="n">
        <f aca="false">F20/(1+C7)^B20</f>
        <v>1272884.41325374</v>
      </c>
    </row>
    <row r="21" customFormat="false" ht="19.5" hidden="false" customHeight="true" outlineLevel="0" collapsed="false">
      <c r="B21" s="85" t="n">
        <v>11</v>
      </c>
      <c r="C21" s="86" t="n">
        <f aca="false">F20</f>
        <v>1551638.99705461</v>
      </c>
      <c r="D21" s="86" t="n">
        <f aca="false">E5*12</f>
        <v>60000</v>
      </c>
      <c r="E21" s="87" t="n">
        <f aca="false">(C21+D21/2)*C6</f>
        <v>126531.119764369</v>
      </c>
      <c r="F21" s="86" t="n">
        <f aca="false">C21+D21+E21</f>
        <v>1738170.11681898</v>
      </c>
      <c r="G21" s="88" t="n">
        <f aca="false">F21/(1+C7)^B21</f>
        <v>1397945.98061397</v>
      </c>
    </row>
    <row r="22" customFormat="false" ht="19.5" hidden="false" customHeight="true" outlineLevel="0" collapsed="false">
      <c r="B22" s="89" t="n">
        <v>12</v>
      </c>
      <c r="C22" s="90" t="n">
        <f aca="false">F21</f>
        <v>1738170.11681898</v>
      </c>
      <c r="D22" s="90" t="n">
        <f aca="false">E5*12</f>
        <v>60000</v>
      </c>
      <c r="E22" s="91" t="n">
        <f aca="false">(C22+D22/2)*C6</f>
        <v>141453.609345518</v>
      </c>
      <c r="F22" s="90" t="n">
        <f aca="false">C22+D22+E22</f>
        <v>1939623.7261645</v>
      </c>
      <c r="G22" s="92" t="n">
        <f aca="false">F22/(1+C7)^B22</f>
        <v>1529380.07127697</v>
      </c>
    </row>
    <row r="23" customFormat="false" ht="19.5" hidden="false" customHeight="true" outlineLevel="0" collapsed="false">
      <c r="B23" s="85" t="n">
        <v>13</v>
      </c>
      <c r="C23" s="86" t="n">
        <f aca="false">F22</f>
        <v>1939623.7261645</v>
      </c>
      <c r="D23" s="86" t="n">
        <f aca="false">E5*12</f>
        <v>60000</v>
      </c>
      <c r="E23" s="87" t="n">
        <f aca="false">(C23+D23/2)*C6</f>
        <v>157569.89809316</v>
      </c>
      <c r="F23" s="86" t="n">
        <f aca="false">C23+D23+E23</f>
        <v>2157193.62425766</v>
      </c>
      <c r="G23" s="88" t="n">
        <f aca="false">F23/(1+C7)^B23</f>
        <v>1667580.83444649</v>
      </c>
    </row>
    <row r="24" customFormat="false" ht="19.5" hidden="false" customHeight="true" outlineLevel="0" collapsed="false">
      <c r="B24" s="89" t="n">
        <v>14</v>
      </c>
      <c r="C24" s="90" t="n">
        <f aca="false">F23</f>
        <v>2157193.62425766</v>
      </c>
      <c r="D24" s="90" t="n">
        <f aca="false">E5*12</f>
        <v>60000</v>
      </c>
      <c r="E24" s="91" t="n">
        <f aca="false">(C24+D24/2)*C6</f>
        <v>174975.489940613</v>
      </c>
      <c r="F24" s="90" t="n">
        <f aca="false">C24+D24+E24</f>
        <v>2392169.11419827</v>
      </c>
      <c r="G24" s="92" t="n">
        <f aca="false">F24/(1+C7)^B24</f>
        <v>1812965.22624236</v>
      </c>
    </row>
    <row r="25" customFormat="false" ht="19.5" hidden="false" customHeight="true" outlineLevel="0" collapsed="false">
      <c r="B25" s="93" t="n">
        <v>15</v>
      </c>
      <c r="C25" s="86" t="n">
        <f aca="false">F24</f>
        <v>2392169.11419827</v>
      </c>
      <c r="D25" s="86" t="n">
        <f aca="false">E5*12</f>
        <v>60000</v>
      </c>
      <c r="E25" s="87" t="n">
        <f aca="false">(C25+D25/2)*C6</f>
        <v>193773.529135862</v>
      </c>
      <c r="F25" s="94" t="n">
        <f aca="false">C25+D25+E25</f>
        <v>2645942.64333413</v>
      </c>
      <c r="G25" s="88" t="n">
        <f aca="false">F25/(1+C7)^B25</f>
        <v>1965974.35870202</v>
      </c>
    </row>
    <row r="26" customFormat="false" ht="19.5" hidden="false" customHeight="true" outlineLevel="0" collapsed="false">
      <c r="B26" s="89" t="n">
        <v>16</v>
      </c>
      <c r="C26" s="90" t="n">
        <f aca="false">F25</f>
        <v>2645942.64333413</v>
      </c>
      <c r="D26" s="90" t="n">
        <f aca="false">E5*12</f>
        <v>60000</v>
      </c>
      <c r="E26" s="91" t="n">
        <f aca="false">(C26+D26/2)*C6</f>
        <v>214075.41146673</v>
      </c>
      <c r="F26" s="90" t="n">
        <f aca="false">C26+D26+E26</f>
        <v>2920018.05480086</v>
      </c>
      <c r="G26" s="92" t="n">
        <f aca="false">F26/(1+C7)^B26</f>
        <v>2127074.92798967</v>
      </c>
    </row>
    <row r="27" customFormat="false" ht="19.5" hidden="false" customHeight="true" outlineLevel="0" collapsed="false">
      <c r="B27" s="85" t="n">
        <v>17</v>
      </c>
      <c r="C27" s="86" t="n">
        <f aca="false">F26</f>
        <v>2920018.05480086</v>
      </c>
      <c r="D27" s="86" t="n">
        <f aca="false">E5*12</f>
        <v>60000</v>
      </c>
      <c r="E27" s="87" t="n">
        <f aca="false">(C27+D27/2)*C6</f>
        <v>236001.444384069</v>
      </c>
      <c r="F27" s="86" t="n">
        <f aca="false">C27+D27+E27</f>
        <v>3216019.49918493</v>
      </c>
      <c r="G27" s="88" t="n">
        <f aca="false">F27/(1+C7)^B27</f>
        <v>2296760.72647511</v>
      </c>
    </row>
    <row r="28" customFormat="false" ht="19.5" hidden="false" customHeight="true" outlineLevel="0" collapsed="false">
      <c r="B28" s="89" t="n">
        <v>18</v>
      </c>
      <c r="C28" s="90" t="n">
        <f aca="false">F27</f>
        <v>3216019.49918493</v>
      </c>
      <c r="D28" s="90" t="n">
        <f aca="false">E5*12</f>
        <v>60000</v>
      </c>
      <c r="E28" s="91" t="n">
        <f aca="false">(C28+D28/2)*C6</f>
        <v>259681.559934794</v>
      </c>
      <c r="F28" s="90" t="n">
        <f aca="false">C28+D28+E28</f>
        <v>3535701.05911972</v>
      </c>
      <c r="G28" s="92" t="n">
        <f aca="false">F28/(1+C7)^B28</f>
        <v>2475554.24361856</v>
      </c>
    </row>
    <row r="29" customFormat="false" ht="19.5" hidden="false" customHeight="true" outlineLevel="0" collapsed="false">
      <c r="B29" s="85" t="n">
        <v>19</v>
      </c>
      <c r="C29" s="86" t="n">
        <f aca="false">F28</f>
        <v>3535701.05911972</v>
      </c>
      <c r="D29" s="86" t="n">
        <f aca="false">E5*12</f>
        <v>60000</v>
      </c>
      <c r="E29" s="87" t="n">
        <f aca="false">(C29+D29/2)*C6</f>
        <v>285256.084729578</v>
      </c>
      <c r="F29" s="86" t="n">
        <f aca="false">C29+D29+E29</f>
        <v>3880957.1438493</v>
      </c>
      <c r="G29" s="88" t="n">
        <f aca="false">F29/(1+C7)^B29</f>
        <v>2664008.36088813</v>
      </c>
    </row>
    <row r="30" customFormat="false" ht="19.5" hidden="false" customHeight="true" outlineLevel="0" collapsed="false">
      <c r="B30" s="95" t="n">
        <v>20</v>
      </c>
      <c r="C30" s="90" t="n">
        <f aca="false">F29</f>
        <v>3880957.1438493</v>
      </c>
      <c r="D30" s="90" t="n">
        <f aca="false">E5*12</f>
        <v>60000</v>
      </c>
      <c r="E30" s="91" t="n">
        <f aca="false">(C30+D30/2)*C6</f>
        <v>312876.571507944</v>
      </c>
      <c r="F30" s="94" t="n">
        <f aca="false">C30+D30+E30</f>
        <v>4253833.71535725</v>
      </c>
      <c r="G30" s="92" t="n">
        <f aca="false">F30/(1+C7)^B30</f>
        <v>2862708.14624397</v>
      </c>
    </row>
    <row r="32" customFormat="false" ht="7.5" hidden="false" customHeight="true" outlineLevel="0" collapsed="false"/>
    <row r="33" customFormat="false" ht="24" hidden="false" customHeight="true" outlineLevel="0" collapsed="false">
      <c r="B33" s="20" t="s">
        <v>179</v>
      </c>
      <c r="C33" s="20"/>
      <c r="D33" s="20"/>
      <c r="E33" s="20"/>
      <c r="F33" s="20"/>
      <c r="G33" s="20"/>
    </row>
    <row r="34" customFormat="false" ht="24" hidden="false" customHeight="true" outlineLevel="0" collapsed="false">
      <c r="B34" s="81" t="s">
        <v>180</v>
      </c>
      <c r="C34" s="96" t="n">
        <f aca="false">C5+E5*12*G6</f>
        <v>300000</v>
      </c>
      <c r="D34" s="96"/>
      <c r="E34" s="96"/>
      <c r="F34" s="96"/>
      <c r="G34" s="96"/>
    </row>
    <row r="35" customFormat="false" ht="24" hidden="false" customHeight="true" outlineLevel="0" collapsed="false">
      <c r="B35" s="34" t="s">
        <v>181</v>
      </c>
      <c r="C35" s="97" t="n">
        <f aca="false">F30</f>
        <v>4253833.71535725</v>
      </c>
      <c r="D35" s="97"/>
      <c r="E35" s="97"/>
      <c r="F35" s="97"/>
      <c r="G35" s="97"/>
    </row>
    <row r="36" customFormat="false" ht="24" hidden="false" customHeight="true" outlineLevel="0" collapsed="false">
      <c r="B36" s="83" t="s">
        <v>182</v>
      </c>
      <c r="C36" s="98" t="n">
        <f aca="false">F30-C5-E5*12*G6</f>
        <v>3953833.71535725</v>
      </c>
      <c r="D36" s="98"/>
      <c r="E36" s="98"/>
      <c r="F36" s="98"/>
      <c r="G36" s="98"/>
    </row>
    <row r="37" customFormat="false" ht="24" hidden="false" customHeight="true" outlineLevel="0" collapsed="false">
      <c r="B37" s="21" t="s">
        <v>183</v>
      </c>
      <c r="C37" s="99" t="n">
        <f aca="false">F30/C5</f>
        <v>14.1794457178575</v>
      </c>
      <c r="D37" s="99"/>
      <c r="E37" s="99"/>
      <c r="F37" s="99"/>
      <c r="G37" s="99"/>
    </row>
  </sheetData>
  <mergeCells count="9">
    <mergeCell ref="B1:G1"/>
    <mergeCell ref="B2:G2"/>
    <mergeCell ref="B4:G4"/>
    <mergeCell ref="B9:G9"/>
    <mergeCell ref="B33:G33"/>
    <mergeCell ref="C34:G34"/>
    <mergeCell ref="C35:G35"/>
    <mergeCell ref="C36:G36"/>
    <mergeCell ref="C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8" min="7" style="0" width="14"/>
    <col collapsed="false" customWidth="true" hidden="false" outlineLevel="0" max="9" min="9" style="0" width="2"/>
  </cols>
  <sheetData>
    <row r="1" customFormat="false" ht="6" hidden="false" customHeight="true" outlineLevel="0" collapsed="false">
      <c r="B1" s="100" t="s">
        <v>184</v>
      </c>
      <c r="C1" s="100"/>
      <c r="D1" s="100"/>
      <c r="E1" s="100"/>
      <c r="F1" s="100"/>
      <c r="G1" s="100"/>
      <c r="H1" s="100"/>
    </row>
    <row r="2" customFormat="false" ht="30" hidden="false" customHeight="true" outlineLevel="0" collapsed="false">
      <c r="B2" s="101" t="s">
        <v>185</v>
      </c>
      <c r="C2" s="101"/>
      <c r="D2" s="101"/>
      <c r="E2" s="101"/>
      <c r="F2" s="101"/>
      <c r="G2" s="101"/>
      <c r="H2" s="101"/>
    </row>
    <row r="3" customFormat="false" ht="7.5" hidden="false" customHeight="true" outlineLevel="0" collapsed="false"/>
    <row r="4" customFormat="false" ht="27.75" hidden="false" customHeight="true" outlineLevel="0" collapsed="false">
      <c r="B4" s="102" t="s">
        <v>186</v>
      </c>
      <c r="C4" s="102"/>
      <c r="D4" s="102"/>
      <c r="E4" s="102"/>
      <c r="F4" s="102"/>
      <c r="G4" s="102"/>
      <c r="H4" s="102"/>
    </row>
    <row r="5" customFormat="false" ht="31.5" hidden="false" customHeight="true" outlineLevel="0" collapsed="false">
      <c r="B5" s="59" t="s">
        <v>187</v>
      </c>
      <c r="C5" s="59" t="s">
        <v>188</v>
      </c>
      <c r="D5" s="59" t="s">
        <v>189</v>
      </c>
      <c r="E5" s="59" t="s">
        <v>190</v>
      </c>
      <c r="F5" s="59" t="s">
        <v>191</v>
      </c>
      <c r="G5" s="59" t="s">
        <v>192</v>
      </c>
      <c r="H5" s="59" t="s">
        <v>193</v>
      </c>
    </row>
    <row r="6" customFormat="false" ht="21.75" hidden="false" customHeight="true" outlineLevel="0" collapsed="false">
      <c r="B6" s="103" t="s">
        <v>194</v>
      </c>
      <c r="C6" s="104" t="s">
        <v>195</v>
      </c>
      <c r="D6" s="104" t="s">
        <v>196</v>
      </c>
      <c r="E6" s="105" t="s">
        <v>197</v>
      </c>
      <c r="F6" s="106" t="n">
        <v>8</v>
      </c>
      <c r="G6" s="107" t="n">
        <f aca="false">8*(1+0.1)^1</f>
        <v>8.8</v>
      </c>
      <c r="H6" s="108"/>
    </row>
    <row r="7" customFormat="false" ht="21.75" hidden="false" customHeight="true" outlineLevel="0" collapsed="false">
      <c r="B7" s="10" t="s">
        <v>198</v>
      </c>
      <c r="C7" s="109" t="s">
        <v>199</v>
      </c>
      <c r="D7" s="109" t="s">
        <v>200</v>
      </c>
      <c r="E7" s="110" t="s">
        <v>201</v>
      </c>
      <c r="F7" s="85" t="n">
        <f aca="false">IF(D7="完成",7,IF(D7="進行中",5,3))</f>
        <v>3</v>
      </c>
      <c r="G7" s="111" t="n">
        <f aca="false">F7*(1+0.1)^(COUNTIF($E6:$E7,"完成"))</f>
        <v>3</v>
      </c>
      <c r="H7" s="112"/>
    </row>
    <row r="8" customFormat="false" ht="21.75" hidden="false" customHeight="true" outlineLevel="0" collapsed="false">
      <c r="B8" s="103" t="s">
        <v>202</v>
      </c>
      <c r="C8" s="104" t="s">
        <v>199</v>
      </c>
      <c r="D8" s="104" t="s">
        <v>200</v>
      </c>
      <c r="E8" s="113" t="s">
        <v>201</v>
      </c>
      <c r="F8" s="89" t="n">
        <f aca="false">IF(D8="完成",7,IF(D8="進行中",5,3))</f>
        <v>3</v>
      </c>
      <c r="G8" s="107" t="n">
        <f aca="false">F8*(1+0.1)^(COUNTIF($E6:$E8,"完成"))</f>
        <v>3</v>
      </c>
      <c r="H8" s="108"/>
    </row>
    <row r="9" customFormat="false" ht="21.75" hidden="false" customHeight="true" outlineLevel="0" collapsed="false">
      <c r="B9" s="10" t="s">
        <v>203</v>
      </c>
      <c r="C9" s="109" t="s">
        <v>199</v>
      </c>
      <c r="D9" s="109" t="s">
        <v>200</v>
      </c>
      <c r="E9" s="110" t="s">
        <v>201</v>
      </c>
      <c r="F9" s="85" t="n">
        <f aca="false">IF(D9="完成",7,IF(D9="進行中",5,3))</f>
        <v>3</v>
      </c>
      <c r="G9" s="111" t="n">
        <f aca="false">F9*(1+0.1)^(COUNTIF($E6:$E9,"完成"))</f>
        <v>3</v>
      </c>
      <c r="H9" s="112"/>
    </row>
    <row r="10" customFormat="false" ht="21.75" hidden="false" customHeight="true" outlineLevel="0" collapsed="false">
      <c r="B10" s="103" t="s">
        <v>204</v>
      </c>
      <c r="C10" s="104" t="s">
        <v>199</v>
      </c>
      <c r="D10" s="104" t="s">
        <v>200</v>
      </c>
      <c r="E10" s="113" t="s">
        <v>201</v>
      </c>
      <c r="F10" s="89" t="n">
        <f aca="false">IF(D10="完成",7,IF(D10="進行中",5,3))</f>
        <v>3</v>
      </c>
      <c r="G10" s="107" t="n">
        <f aca="false">F10*(1+0.1)^(COUNTIF($E6:$E10,"完成"))</f>
        <v>3</v>
      </c>
      <c r="H10" s="108"/>
    </row>
    <row r="11" customFormat="false" ht="21.75" hidden="false" customHeight="true" outlineLevel="0" collapsed="false">
      <c r="B11" s="114" t="s">
        <v>205</v>
      </c>
      <c r="C11" s="114"/>
      <c r="D11" s="114"/>
      <c r="E11" s="114"/>
      <c r="F11" s="114"/>
      <c r="G11" s="115" t="n">
        <f aca="false">SUM(G6:G10)</f>
        <v>20.8</v>
      </c>
      <c r="H11" s="116" t="s">
        <v>206</v>
      </c>
    </row>
    <row r="13" customFormat="false" ht="27.75" hidden="false" customHeight="true" outlineLevel="0" collapsed="false">
      <c r="B13" s="117" t="s">
        <v>207</v>
      </c>
      <c r="C13" s="117"/>
      <c r="D13" s="117"/>
      <c r="E13" s="117"/>
      <c r="F13" s="117"/>
      <c r="G13" s="117"/>
      <c r="H13" s="117"/>
    </row>
    <row r="14" customFormat="false" ht="31.5" hidden="false" customHeight="true" outlineLevel="0" collapsed="false">
      <c r="B14" s="59" t="s">
        <v>187</v>
      </c>
      <c r="C14" s="59" t="s">
        <v>188</v>
      </c>
      <c r="D14" s="59" t="s">
        <v>189</v>
      </c>
      <c r="E14" s="59" t="s">
        <v>190</v>
      </c>
      <c r="F14" s="59" t="s">
        <v>191</v>
      </c>
      <c r="G14" s="59" t="s">
        <v>192</v>
      </c>
      <c r="H14" s="59" t="s">
        <v>193</v>
      </c>
    </row>
    <row r="15" customFormat="false" ht="21.75" hidden="false" customHeight="true" outlineLevel="0" collapsed="false">
      <c r="B15" s="118" t="s">
        <v>208</v>
      </c>
      <c r="C15" s="104" t="s">
        <v>209</v>
      </c>
      <c r="D15" s="104" t="s">
        <v>196</v>
      </c>
      <c r="E15" s="119" t="s">
        <v>210</v>
      </c>
      <c r="F15" s="106" t="n">
        <v>9</v>
      </c>
      <c r="G15" s="107" t="n">
        <f aca="false">9*(1+0.1)^1</f>
        <v>9.9</v>
      </c>
      <c r="H15" s="108"/>
    </row>
    <row r="16" customFormat="false" ht="21.75" hidden="false" customHeight="true" outlineLevel="0" collapsed="false">
      <c r="B16" s="10" t="s">
        <v>211</v>
      </c>
      <c r="C16" s="109" t="s">
        <v>199</v>
      </c>
      <c r="D16" s="109" t="s">
        <v>200</v>
      </c>
      <c r="E16" s="110" t="s">
        <v>201</v>
      </c>
      <c r="F16" s="85" t="n">
        <f aca="false">IF(D16="完成",7,IF(D16="進行中",5,3))</f>
        <v>3</v>
      </c>
      <c r="G16" s="111" t="n">
        <f aca="false">F16*(1+0.1)^(COUNTIF($E15:$E16,"完成"))</f>
        <v>3.3</v>
      </c>
      <c r="H16" s="112"/>
    </row>
    <row r="17" customFormat="false" ht="21.75" hidden="false" customHeight="true" outlineLevel="0" collapsed="false">
      <c r="B17" s="103" t="s">
        <v>212</v>
      </c>
      <c r="C17" s="104" t="s">
        <v>199</v>
      </c>
      <c r="D17" s="104" t="s">
        <v>200</v>
      </c>
      <c r="E17" s="113" t="s">
        <v>201</v>
      </c>
      <c r="F17" s="89" t="n">
        <f aca="false">IF(D17="完成",7,IF(D17="進行中",5,3))</f>
        <v>3</v>
      </c>
      <c r="G17" s="107" t="n">
        <f aca="false">F17*(1+0.1)^(COUNTIF($E15:$E17,"完成"))</f>
        <v>3.3</v>
      </c>
      <c r="H17" s="108"/>
    </row>
    <row r="18" customFormat="false" ht="21.75" hidden="false" customHeight="true" outlineLevel="0" collapsed="false">
      <c r="B18" s="10" t="s">
        <v>213</v>
      </c>
      <c r="C18" s="109" t="s">
        <v>199</v>
      </c>
      <c r="D18" s="109" t="s">
        <v>200</v>
      </c>
      <c r="E18" s="110" t="s">
        <v>201</v>
      </c>
      <c r="F18" s="85" t="n">
        <f aca="false">IF(D18="完成",7,IF(D18="進行中",5,3))</f>
        <v>3</v>
      </c>
      <c r="G18" s="111" t="n">
        <f aca="false">F18*(1+0.1)^(COUNTIF($E15:$E18,"完成"))</f>
        <v>3.3</v>
      </c>
      <c r="H18" s="112"/>
    </row>
    <row r="19" customFormat="false" ht="21.75" hidden="false" customHeight="true" outlineLevel="0" collapsed="false">
      <c r="B19" s="103" t="s">
        <v>214</v>
      </c>
      <c r="C19" s="104" t="s">
        <v>199</v>
      </c>
      <c r="D19" s="104" t="s">
        <v>200</v>
      </c>
      <c r="E19" s="113" t="s">
        <v>201</v>
      </c>
      <c r="F19" s="89" t="n">
        <f aca="false">IF(D19="完成",7,IF(D19="進行中",5,3))</f>
        <v>3</v>
      </c>
      <c r="G19" s="107" t="n">
        <f aca="false">F19*(1+0.1)^(COUNTIF($E15:$E19,"完成"))</f>
        <v>3.3</v>
      </c>
      <c r="H19" s="108"/>
    </row>
    <row r="20" customFormat="false" ht="21.75" hidden="false" customHeight="true" outlineLevel="0" collapsed="false">
      <c r="B20" s="120" t="s">
        <v>215</v>
      </c>
      <c r="C20" s="120"/>
      <c r="D20" s="120"/>
      <c r="E20" s="120"/>
      <c r="F20" s="120"/>
      <c r="G20" s="121" t="n">
        <f aca="false">SUM(G15:G19)</f>
        <v>23.1</v>
      </c>
      <c r="H20" s="116" t="s">
        <v>206</v>
      </c>
    </row>
    <row r="22" customFormat="false" ht="27.75" hidden="false" customHeight="true" outlineLevel="0" collapsed="false">
      <c r="B22" s="122" t="s">
        <v>216</v>
      </c>
      <c r="C22" s="122"/>
      <c r="D22" s="122"/>
      <c r="E22" s="122"/>
      <c r="F22" s="122"/>
      <c r="G22" s="122"/>
      <c r="H22" s="122"/>
    </row>
    <row r="23" customFormat="false" ht="31.5" hidden="false" customHeight="true" outlineLevel="0" collapsed="false">
      <c r="B23" s="59" t="s">
        <v>187</v>
      </c>
      <c r="C23" s="59" t="s">
        <v>188</v>
      </c>
      <c r="D23" s="59" t="s">
        <v>189</v>
      </c>
      <c r="E23" s="59" t="s">
        <v>190</v>
      </c>
      <c r="F23" s="59" t="s">
        <v>191</v>
      </c>
      <c r="G23" s="59" t="s">
        <v>192</v>
      </c>
      <c r="H23" s="59" t="s">
        <v>193</v>
      </c>
    </row>
    <row r="24" customFormat="false" ht="21.75" hidden="false" customHeight="true" outlineLevel="0" collapsed="false">
      <c r="B24" s="118" t="s">
        <v>217</v>
      </c>
      <c r="C24" s="104" t="s">
        <v>218</v>
      </c>
      <c r="D24" s="104" t="s">
        <v>200</v>
      </c>
      <c r="E24" s="119" t="s">
        <v>210</v>
      </c>
      <c r="F24" s="106" t="n">
        <v>8</v>
      </c>
      <c r="G24" s="107" t="n">
        <f aca="false">8*(1+0.1)^1</f>
        <v>8.8</v>
      </c>
      <c r="H24" s="108"/>
    </row>
    <row r="25" customFormat="false" ht="21.75" hidden="false" customHeight="true" outlineLevel="0" collapsed="false">
      <c r="B25" s="10" t="s">
        <v>219</v>
      </c>
      <c r="C25" s="109" t="s">
        <v>199</v>
      </c>
      <c r="D25" s="109" t="s">
        <v>200</v>
      </c>
      <c r="E25" s="110" t="s">
        <v>201</v>
      </c>
      <c r="F25" s="85" t="n">
        <f aca="false">IF(D25="完成",7,IF(D25="進行中",5,3))</f>
        <v>3</v>
      </c>
      <c r="G25" s="111" t="n">
        <f aca="false">F25*(1+0.1)^(COUNTIF($E24:$E25,"完成"))</f>
        <v>3.3</v>
      </c>
      <c r="H25" s="112"/>
    </row>
    <row r="26" customFormat="false" ht="21.75" hidden="false" customHeight="true" outlineLevel="0" collapsed="false">
      <c r="B26" s="103" t="s">
        <v>220</v>
      </c>
      <c r="C26" s="104" t="s">
        <v>199</v>
      </c>
      <c r="D26" s="104" t="s">
        <v>200</v>
      </c>
      <c r="E26" s="113" t="s">
        <v>201</v>
      </c>
      <c r="F26" s="89" t="n">
        <f aca="false">IF(D26="完成",7,IF(D26="進行中",5,3))</f>
        <v>3</v>
      </c>
      <c r="G26" s="107" t="n">
        <f aca="false">F26*(1+0.1)^(COUNTIF($E24:$E26,"完成"))</f>
        <v>3.3</v>
      </c>
      <c r="H26" s="108"/>
    </row>
    <row r="27" customFormat="false" ht="21.75" hidden="false" customHeight="true" outlineLevel="0" collapsed="false">
      <c r="B27" s="10" t="s">
        <v>221</v>
      </c>
      <c r="C27" s="109" t="s">
        <v>199</v>
      </c>
      <c r="D27" s="109" t="s">
        <v>200</v>
      </c>
      <c r="E27" s="110" t="s">
        <v>201</v>
      </c>
      <c r="F27" s="85" t="n">
        <f aca="false">IF(D27="完成",7,IF(D27="進行中",5,3))</f>
        <v>3</v>
      </c>
      <c r="G27" s="111" t="n">
        <f aca="false">F27*(1+0.1)^(COUNTIF($E24:$E27,"完成"))</f>
        <v>3.3</v>
      </c>
      <c r="H27" s="112"/>
    </row>
    <row r="28" customFormat="false" ht="21.75" hidden="false" customHeight="true" outlineLevel="0" collapsed="false">
      <c r="B28" s="103" t="s">
        <v>222</v>
      </c>
      <c r="C28" s="104" t="s">
        <v>199</v>
      </c>
      <c r="D28" s="104" t="s">
        <v>200</v>
      </c>
      <c r="E28" s="113" t="s">
        <v>201</v>
      </c>
      <c r="F28" s="89" t="n">
        <f aca="false">IF(D28="完成",7,IF(D28="進行中",5,3))</f>
        <v>3</v>
      </c>
      <c r="G28" s="107" t="n">
        <f aca="false">F28*(1+0.1)^(COUNTIF($E24:$E28,"完成"))</f>
        <v>3.3</v>
      </c>
      <c r="H28" s="108"/>
    </row>
    <row r="29" customFormat="false" ht="21.75" hidden="false" customHeight="true" outlineLevel="0" collapsed="false">
      <c r="B29" s="123" t="s">
        <v>223</v>
      </c>
      <c r="C29" s="123"/>
      <c r="D29" s="123"/>
      <c r="E29" s="123"/>
      <c r="F29" s="123"/>
      <c r="G29" s="124" t="n">
        <f aca="false">SUM(G24:G28)</f>
        <v>22</v>
      </c>
      <c r="H29" s="116" t="s">
        <v>206</v>
      </c>
    </row>
    <row r="31" customFormat="false" ht="27.75" hidden="false" customHeight="true" outlineLevel="0" collapsed="false">
      <c r="B31" s="125" t="s">
        <v>224</v>
      </c>
      <c r="C31" s="125"/>
      <c r="D31" s="125"/>
      <c r="E31" s="125"/>
      <c r="F31" s="125"/>
      <c r="G31" s="125"/>
      <c r="H31" s="125"/>
    </row>
    <row r="32" customFormat="false" ht="31.5" hidden="false" customHeight="true" outlineLevel="0" collapsed="false">
      <c r="B32" s="59" t="s">
        <v>187</v>
      </c>
      <c r="C32" s="59" t="s">
        <v>188</v>
      </c>
      <c r="D32" s="59" t="s">
        <v>189</v>
      </c>
      <c r="E32" s="59" t="s">
        <v>190</v>
      </c>
      <c r="F32" s="59" t="s">
        <v>191</v>
      </c>
      <c r="G32" s="59" t="s">
        <v>192</v>
      </c>
      <c r="H32" s="59" t="s">
        <v>193</v>
      </c>
    </row>
    <row r="33" customFormat="false" ht="21.75" hidden="false" customHeight="true" outlineLevel="0" collapsed="false">
      <c r="B33" s="118" t="s">
        <v>225</v>
      </c>
      <c r="C33" s="104" t="s">
        <v>226</v>
      </c>
      <c r="D33" s="104" t="s">
        <v>196</v>
      </c>
      <c r="E33" s="119" t="s">
        <v>210</v>
      </c>
      <c r="F33" s="106" t="n">
        <v>9</v>
      </c>
      <c r="G33" s="107" t="n">
        <f aca="false">9*(1+0.1)^1</f>
        <v>9.9</v>
      </c>
      <c r="H33" s="108"/>
    </row>
    <row r="34" customFormat="false" ht="21.75" hidden="false" customHeight="true" outlineLevel="0" collapsed="false">
      <c r="B34" s="10" t="s">
        <v>227</v>
      </c>
      <c r="C34" s="109" t="s">
        <v>199</v>
      </c>
      <c r="D34" s="109" t="s">
        <v>200</v>
      </c>
      <c r="E34" s="110" t="s">
        <v>201</v>
      </c>
      <c r="F34" s="85" t="n">
        <f aca="false">IF(D34="完成",7,IF(D34="進行中",5,3))</f>
        <v>3</v>
      </c>
      <c r="G34" s="111" t="n">
        <f aca="false">F34*(1+0.1)^(COUNTIF($E33:$E34,"完成"))</f>
        <v>3.3</v>
      </c>
      <c r="H34" s="112"/>
    </row>
    <row r="35" customFormat="false" ht="21.75" hidden="false" customHeight="true" outlineLevel="0" collapsed="false">
      <c r="B35" s="103" t="s">
        <v>228</v>
      </c>
      <c r="C35" s="104" t="s">
        <v>199</v>
      </c>
      <c r="D35" s="104" t="s">
        <v>200</v>
      </c>
      <c r="E35" s="113" t="s">
        <v>201</v>
      </c>
      <c r="F35" s="89" t="n">
        <f aca="false">IF(D35="完成",7,IF(D35="進行中",5,3))</f>
        <v>3</v>
      </c>
      <c r="G35" s="107" t="n">
        <f aca="false">F35*(1+0.1)^(COUNTIF($E33:$E35,"完成"))</f>
        <v>3.3</v>
      </c>
      <c r="H35" s="108"/>
    </row>
    <row r="36" customFormat="false" ht="21.75" hidden="false" customHeight="true" outlineLevel="0" collapsed="false">
      <c r="B36" s="10" t="s">
        <v>229</v>
      </c>
      <c r="C36" s="109" t="s">
        <v>199</v>
      </c>
      <c r="D36" s="109" t="s">
        <v>200</v>
      </c>
      <c r="E36" s="110" t="s">
        <v>201</v>
      </c>
      <c r="F36" s="85" t="n">
        <f aca="false">IF(D36="完成",7,IF(D36="進行中",5,3))</f>
        <v>3</v>
      </c>
      <c r="G36" s="111" t="n">
        <f aca="false">F36*(1+0.1)^(COUNTIF($E33:$E36,"完成"))</f>
        <v>3.3</v>
      </c>
      <c r="H36" s="112"/>
    </row>
    <row r="37" customFormat="false" ht="21.75" hidden="false" customHeight="true" outlineLevel="0" collapsed="false">
      <c r="B37" s="103" t="s">
        <v>230</v>
      </c>
      <c r="C37" s="104" t="s">
        <v>199</v>
      </c>
      <c r="D37" s="104" t="s">
        <v>200</v>
      </c>
      <c r="E37" s="113" t="s">
        <v>201</v>
      </c>
      <c r="F37" s="89" t="n">
        <f aca="false">IF(D37="完成",7,IF(D37="進行中",5,3))</f>
        <v>3</v>
      </c>
      <c r="G37" s="107" t="n">
        <f aca="false">F37*(1+0.1)^(COUNTIF($E33:$E37,"完成"))</f>
        <v>3.3</v>
      </c>
      <c r="H37" s="108"/>
    </row>
    <row r="38" customFormat="false" ht="21.75" hidden="false" customHeight="true" outlineLevel="0" collapsed="false">
      <c r="B38" s="126" t="s">
        <v>231</v>
      </c>
      <c r="C38" s="126"/>
      <c r="D38" s="126"/>
      <c r="E38" s="126"/>
      <c r="F38" s="126"/>
      <c r="G38" s="127" t="n">
        <f aca="false">SUM(G33:G37)</f>
        <v>23.1</v>
      </c>
      <c r="H38" s="116" t="s">
        <v>206</v>
      </c>
    </row>
    <row r="40" customFormat="false" ht="24" hidden="false" customHeight="true" outlineLevel="0" collapsed="false">
      <c r="B40" s="128" t="s">
        <v>232</v>
      </c>
      <c r="C40" s="128"/>
      <c r="D40" s="128"/>
      <c r="E40" s="128"/>
      <c r="F40" s="128"/>
      <c r="G40" s="128"/>
      <c r="H40" s="128"/>
    </row>
    <row r="41" customFormat="false" ht="21.75" hidden="false" customHeight="true" outlineLevel="0" collapsed="false">
      <c r="B41" s="21" t="s">
        <v>233</v>
      </c>
      <c r="C41" s="21" t="s">
        <v>192</v>
      </c>
      <c r="D41" s="21" t="s">
        <v>234</v>
      </c>
      <c r="E41" s="129" t="s">
        <v>235</v>
      </c>
      <c r="F41" s="129"/>
      <c r="G41" s="129"/>
      <c r="H41" s="129"/>
    </row>
    <row r="42" customFormat="false" ht="24" hidden="false" customHeight="true" outlineLevel="0" collapsed="false">
      <c r="B42" s="130" t="s">
        <v>6</v>
      </c>
      <c r="C42" s="115" t="n">
        <f aca="false">G11</f>
        <v>20.8</v>
      </c>
      <c r="D42" s="89" t="str">
        <f aca="false">IF(C42&gt;=40,"🌟複利大師",IF(C42&gt;=25,"🚀成長加速",IF(C42&gt;=15,"📈複利啟動","🌱習慣建立")))</f>
        <v>📈複利啟動</v>
      </c>
      <c r="E42" s="131" t="s">
        <v>236</v>
      </c>
      <c r="F42" s="131"/>
      <c r="G42" s="131"/>
      <c r="H42" s="131"/>
    </row>
    <row r="43" customFormat="false" ht="24" hidden="false" customHeight="true" outlineLevel="0" collapsed="false">
      <c r="B43" s="132" t="s">
        <v>10</v>
      </c>
      <c r="C43" s="121" t="n">
        <f aca="false">G21</f>
        <v>0</v>
      </c>
      <c r="D43" s="89" t="str">
        <f aca="false">IF(C43&gt;=40,"🌟複利大師",IF(C43&gt;=25,"🚀成長加速",IF(C43&gt;=15,"📈複利啟動","🌱習慣建立")))</f>
        <v>🌱習慣建立</v>
      </c>
      <c r="E43" s="131" t="s">
        <v>236</v>
      </c>
      <c r="F43" s="131"/>
      <c r="G43" s="131"/>
      <c r="H43" s="131"/>
    </row>
    <row r="44" customFormat="false" ht="24" hidden="false" customHeight="true" outlineLevel="0" collapsed="false">
      <c r="B44" s="133" t="s">
        <v>14</v>
      </c>
      <c r="C44" s="124" t="n">
        <f aca="false">G31</f>
        <v>0</v>
      </c>
      <c r="D44" s="89" t="str">
        <f aca="false">IF(C44&gt;=40,"🌟複利大師",IF(C44&gt;=25,"🚀成長加速",IF(C44&gt;=15,"📈複利啟動","🌱習慣建立")))</f>
        <v>🌱習慣建立</v>
      </c>
      <c r="E44" s="131" t="s">
        <v>236</v>
      </c>
      <c r="F44" s="131"/>
      <c r="G44" s="131"/>
      <c r="H44" s="131"/>
    </row>
    <row r="45" customFormat="false" ht="24" hidden="false" customHeight="true" outlineLevel="0" collapsed="false">
      <c r="B45" s="134" t="s">
        <v>18</v>
      </c>
      <c r="C45" s="127" t="n">
        <f aca="false">G41</f>
        <v>0</v>
      </c>
      <c r="D45" s="89" t="str">
        <f aca="false">IF(C45&gt;=40,"🌟複利大師",IF(C45&gt;=25,"🚀成長加速",IF(C45&gt;=15,"📈複利啟動","🌱習慣建立")))</f>
        <v>🌱習慣建立</v>
      </c>
      <c r="E45" s="131" t="s">
        <v>236</v>
      </c>
      <c r="F45" s="131"/>
      <c r="G45" s="131"/>
      <c r="H45" s="131"/>
    </row>
  </sheetData>
  <mergeCells count="16">
    <mergeCell ref="B1:H1"/>
    <mergeCell ref="B2:H2"/>
    <mergeCell ref="B4:H4"/>
    <mergeCell ref="B11:F11"/>
    <mergeCell ref="B13:H13"/>
    <mergeCell ref="B20:F20"/>
    <mergeCell ref="B22:H22"/>
    <mergeCell ref="B29:F29"/>
    <mergeCell ref="B31:H31"/>
    <mergeCell ref="B38:F38"/>
    <mergeCell ref="B40:H40"/>
    <mergeCell ref="E41:H41"/>
    <mergeCell ref="E42:H42"/>
    <mergeCell ref="E43:H43"/>
    <mergeCell ref="E44:H44"/>
    <mergeCell ref="E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9" min="8" style="0" width="14"/>
    <col collapsed="false" customWidth="true" hidden="false" outlineLevel="0" max="10" min="10" style="0" width="2"/>
  </cols>
  <sheetData>
    <row r="1" customFormat="false" ht="6" hidden="false" customHeight="true" outlineLevel="0" collapsed="false">
      <c r="B1" s="100" t="s">
        <v>237</v>
      </c>
      <c r="C1" s="100"/>
      <c r="D1" s="100"/>
      <c r="E1" s="100"/>
      <c r="F1" s="100"/>
      <c r="G1" s="100"/>
      <c r="H1" s="100"/>
      <c r="I1" s="100"/>
    </row>
    <row r="2" customFormat="false" ht="30" hidden="false" customHeight="true" outlineLevel="0" collapsed="false">
      <c r="B2" s="135" t="s">
        <v>238</v>
      </c>
      <c r="C2" s="135"/>
      <c r="D2" s="135"/>
      <c r="E2" s="135"/>
      <c r="F2" s="135"/>
      <c r="G2" s="135"/>
      <c r="H2" s="135"/>
      <c r="I2" s="135"/>
    </row>
    <row r="3" customFormat="false" ht="7.5" hidden="false" customHeight="true" outlineLevel="0" collapsed="false"/>
    <row r="4" customFormat="false" ht="24" hidden="false" customHeight="true" outlineLevel="0" collapsed="false">
      <c r="B4" s="38" t="s">
        <v>239</v>
      </c>
      <c r="C4" s="38"/>
      <c r="D4" s="38"/>
      <c r="E4" s="38"/>
      <c r="F4" s="38"/>
      <c r="G4" s="38"/>
      <c r="H4" s="38"/>
      <c r="I4" s="38"/>
    </row>
    <row r="5" customFormat="false" ht="21.75" hidden="false" customHeight="true" outlineLevel="0" collapsed="false">
      <c r="B5" s="30" t="s">
        <v>240</v>
      </c>
      <c r="C5" s="136" t="n">
        <v>0.25</v>
      </c>
      <c r="D5" s="137"/>
      <c r="E5" s="137"/>
      <c r="F5" s="137"/>
      <c r="G5" s="137"/>
      <c r="H5" s="137"/>
      <c r="I5" s="137"/>
    </row>
    <row r="6" customFormat="false" ht="21.75" hidden="false" customHeight="true" outlineLevel="0" collapsed="false">
      <c r="B6" s="32" t="s">
        <v>241</v>
      </c>
      <c r="C6" s="136" t="n">
        <v>0.3</v>
      </c>
      <c r="D6" s="137"/>
      <c r="E6" s="137"/>
      <c r="F6" s="137"/>
      <c r="G6" s="137"/>
      <c r="H6" s="137"/>
      <c r="I6" s="137"/>
    </row>
    <row r="7" customFormat="false" ht="21.75" hidden="false" customHeight="true" outlineLevel="0" collapsed="false">
      <c r="B7" s="34" t="s">
        <v>242</v>
      </c>
      <c r="C7" s="136" t="n">
        <v>0.3</v>
      </c>
      <c r="D7" s="137"/>
      <c r="E7" s="137"/>
      <c r="F7" s="137"/>
      <c r="G7" s="137"/>
      <c r="H7" s="137"/>
      <c r="I7" s="137"/>
    </row>
    <row r="8" customFormat="false" ht="21.75" hidden="false" customHeight="true" outlineLevel="0" collapsed="false">
      <c r="B8" s="138" t="s">
        <v>243</v>
      </c>
      <c r="C8" s="136" t="n">
        <v>0.15</v>
      </c>
      <c r="D8" s="137"/>
      <c r="E8" s="137"/>
      <c r="F8" s="137"/>
      <c r="G8" s="137"/>
      <c r="H8" s="137"/>
      <c r="I8" s="137"/>
    </row>
    <row r="9" customFormat="false" ht="7.5" hidden="false" customHeight="true" outlineLevel="0" collapsed="false">
      <c r="B9" s="14" t="s">
        <v>244</v>
      </c>
      <c r="C9" s="139" t="n">
        <f aca="false">SUM(C5:C8)</f>
        <v>1</v>
      </c>
      <c r="D9" s="140" t="s">
        <v>245</v>
      </c>
      <c r="E9" s="140"/>
      <c r="F9" s="140"/>
      <c r="G9" s="140"/>
      <c r="H9" s="140"/>
      <c r="I9" s="140"/>
    </row>
    <row r="10" customFormat="false" ht="7.5" hidden="false" customHeight="true" outlineLevel="0" collapsed="false"/>
    <row r="11" customFormat="false" ht="24" hidden="false" customHeight="true" outlineLevel="0" collapsed="false">
      <c r="B11" s="141" t="s">
        <v>246</v>
      </c>
      <c r="C11" s="141"/>
      <c r="D11" s="141"/>
      <c r="E11" s="141"/>
      <c r="F11" s="141"/>
      <c r="G11" s="141"/>
      <c r="H11" s="141"/>
      <c r="I11" s="141"/>
    </row>
    <row r="12" customFormat="false" ht="36" hidden="false" customHeight="true" outlineLevel="0" collapsed="false">
      <c r="B12" s="59" t="s">
        <v>247</v>
      </c>
      <c r="C12" s="59" t="s">
        <v>248</v>
      </c>
      <c r="D12" s="60" t="s">
        <v>249</v>
      </c>
      <c r="E12" s="61" t="s">
        <v>250</v>
      </c>
      <c r="F12" s="62" t="s">
        <v>251</v>
      </c>
      <c r="G12" s="63" t="s">
        <v>252</v>
      </c>
      <c r="H12" s="142" t="s">
        <v>253</v>
      </c>
      <c r="I12" s="59" t="s">
        <v>254</v>
      </c>
    </row>
    <row r="13" customFormat="false" ht="21.75" hidden="false" customHeight="true" outlineLevel="0" collapsed="false">
      <c r="B13" s="143" t="s">
        <v>255</v>
      </c>
      <c r="C13" s="144" t="s">
        <v>256</v>
      </c>
      <c r="D13" s="145" t="n">
        <v>9</v>
      </c>
      <c r="E13" s="145" t="n">
        <v>8</v>
      </c>
      <c r="F13" s="145" t="n">
        <v>9</v>
      </c>
      <c r="G13" s="145" t="n">
        <v>7</v>
      </c>
      <c r="H13" s="146" t="n">
        <f aca="false">IF(B13="","",D13*$C$5+E13*$C$6+F13*$C$7+G13*$C$8)</f>
        <v>8.4</v>
      </c>
      <c r="I13" s="89" t="str">
        <f aca="false">IF(H13="","",IF(H13&gt;=8,"⭐強力買進",IF(H13&gt;=6.5,"✅考慮買進",IF(H13&gt;=5,"⚠️觀察",IF(H13&gt;0,"❌暫不考慮","")))))</f>
        <v>⭐強力買進</v>
      </c>
    </row>
    <row r="14" customFormat="false" ht="21.75" hidden="false" customHeight="true" outlineLevel="0" collapsed="false">
      <c r="B14" s="143" t="s">
        <v>257</v>
      </c>
      <c r="C14" s="147" t="s">
        <v>258</v>
      </c>
      <c r="D14" s="145" t="n">
        <v>7</v>
      </c>
      <c r="E14" s="145" t="n">
        <v>8</v>
      </c>
      <c r="F14" s="145" t="n">
        <v>7</v>
      </c>
      <c r="G14" s="145" t="n">
        <v>7</v>
      </c>
      <c r="H14" s="146" t="n">
        <f aca="false">IF(B14="","",D14*$C$5+E14*$C$6+F14*$C$7+G14*$C$8)</f>
        <v>7.3</v>
      </c>
      <c r="I14" s="85" t="str">
        <f aca="false">IF(H14="","",IF(H14&gt;=8,"⭐強力買進",IF(H14&gt;=6.5,"✅考慮買進",IF(H14&gt;=5,"⚠️觀察",IF(H14&gt;0,"❌暫不考慮","")))))</f>
        <v>✅考慮買進</v>
      </c>
    </row>
    <row r="15" customFormat="false" ht="21.75" hidden="false" customHeight="true" outlineLevel="0" collapsed="false">
      <c r="B15" s="143" t="s">
        <v>259</v>
      </c>
      <c r="C15" s="144" t="s">
        <v>260</v>
      </c>
      <c r="D15" s="145" t="n">
        <v>8</v>
      </c>
      <c r="E15" s="145" t="n">
        <v>7</v>
      </c>
      <c r="F15" s="145" t="n">
        <v>9</v>
      </c>
      <c r="G15" s="145" t="n">
        <v>6</v>
      </c>
      <c r="H15" s="146" t="n">
        <f aca="false">IF(B15="","",D15*$C$5+E15*$C$6+F15*$C$7+G15*$C$8)</f>
        <v>7.7</v>
      </c>
      <c r="I15" s="89" t="str">
        <f aca="false">IF(H15="","",IF(H15&gt;=8,"⭐強力買進",IF(H15&gt;=6.5,"✅考慮買進",IF(H15&gt;=5,"⚠️觀察",IF(H15&gt;0,"❌暫不考慮","")))))</f>
        <v>✅考慮買進</v>
      </c>
    </row>
    <row r="16" customFormat="false" ht="21.75" hidden="false" customHeight="true" outlineLevel="0" collapsed="false">
      <c r="B16" s="143" t="s">
        <v>261</v>
      </c>
      <c r="C16" s="147" t="s">
        <v>262</v>
      </c>
      <c r="D16" s="145" t="n">
        <v>6</v>
      </c>
      <c r="E16" s="145" t="n">
        <v>9</v>
      </c>
      <c r="F16" s="145" t="n">
        <v>6</v>
      </c>
      <c r="G16" s="145" t="n">
        <v>9</v>
      </c>
      <c r="H16" s="146" t="n">
        <f aca="false">IF(B16="","",D16*$C$5+E16*$C$6+F16*$C$7+G16*$C$8)</f>
        <v>7.35</v>
      </c>
      <c r="I16" s="85" t="str">
        <f aca="false">IF(H16="","",IF(H16&gt;=8,"⭐強力買進",IF(H16&gt;=6.5,"✅考慮買進",IF(H16&gt;=5,"⚠️觀察",IF(H16&gt;0,"❌暫不考慮","")))))</f>
        <v>✅考慮買進</v>
      </c>
    </row>
    <row r="17" customFormat="false" ht="21.75" hidden="false" customHeight="true" outlineLevel="0" collapsed="false">
      <c r="B17" s="143" t="s">
        <v>263</v>
      </c>
      <c r="C17" s="144" t="s">
        <v>264</v>
      </c>
      <c r="D17" s="145" t="n">
        <v>5</v>
      </c>
      <c r="E17" s="145" t="n">
        <v>8</v>
      </c>
      <c r="F17" s="145" t="n">
        <v>5</v>
      </c>
      <c r="G17" s="145" t="n">
        <v>9</v>
      </c>
      <c r="H17" s="146" t="n">
        <f aca="false">IF(B17="","",D17*$C$5+E17*$C$6+F17*$C$7+G17*$C$8)</f>
        <v>6.5</v>
      </c>
      <c r="I17" s="89" t="str">
        <f aca="false">IF(H17="","",IF(H17&gt;=8,"⭐強力買進",IF(H17&gt;=6.5,"✅考慮買進",IF(H17&gt;=5,"⚠️觀察",IF(H17&gt;0,"❌暫不考慮","")))))</f>
        <v>✅考慮買進</v>
      </c>
    </row>
    <row r="18" customFormat="false" ht="21.75" hidden="false" customHeight="true" outlineLevel="0" collapsed="false">
      <c r="B18" s="106"/>
      <c r="C18" s="147"/>
      <c r="D18" s="106"/>
      <c r="E18" s="106"/>
      <c r="F18" s="106"/>
      <c r="G18" s="106"/>
      <c r="H18" s="146" t="str">
        <f aca="false">IF(B18="","",D18*$C$5+E18*$C$6+F18*$C$7+G18*$C$8)</f>
        <v/>
      </c>
      <c r="I18" s="85" t="str">
        <f aca="false">IF(H18="","",IF(H18&gt;=8,"⭐強力買進",IF(H18&gt;=6.5,"✅考慮買進",IF(H18&gt;=5,"⚠️觀察",IF(H18&gt;0,"❌暫不考慮","")))))</f>
        <v/>
      </c>
    </row>
    <row r="19" customFormat="false" ht="21.75" hidden="false" customHeight="true" outlineLevel="0" collapsed="false">
      <c r="B19" s="106"/>
      <c r="C19" s="144"/>
      <c r="D19" s="106"/>
      <c r="E19" s="106"/>
      <c r="F19" s="106"/>
      <c r="G19" s="106"/>
      <c r="H19" s="146" t="str">
        <f aca="false">IF(B19="","",D19*$C$5+E19*$C$6+F19*$C$7+G19*$C$8)</f>
        <v/>
      </c>
      <c r="I19" s="89" t="str">
        <f aca="false">IF(H19="","",IF(H19&gt;=8,"⭐強力買進",IF(H19&gt;=6.5,"✅考慮買進",IF(H19&gt;=5,"⚠️觀察",IF(H19&gt;0,"❌暫不考慮","")))))</f>
        <v/>
      </c>
    </row>
    <row r="20" customFormat="false" ht="21.75" hidden="false" customHeight="true" outlineLevel="0" collapsed="false">
      <c r="B20" s="106"/>
      <c r="C20" s="147"/>
      <c r="D20" s="106"/>
      <c r="E20" s="106"/>
      <c r="F20" s="106"/>
      <c r="G20" s="106"/>
      <c r="H20" s="146" t="str">
        <f aca="false">IF(B20="","",D20*$C$5+E20*$C$6+F20*$C$7+G20*$C$8)</f>
        <v/>
      </c>
      <c r="I20" s="85" t="str">
        <f aca="false">IF(H20="","",IF(H20&gt;=8,"⭐強力買進",IF(H20&gt;=6.5,"✅考慮買進",IF(H20&gt;=5,"⚠️觀察",IF(H20&gt;0,"❌暫不考慮","")))))</f>
        <v/>
      </c>
    </row>
    <row r="21" customFormat="false" ht="21.75" hidden="false" customHeight="true" outlineLevel="0" collapsed="false">
      <c r="B21" s="106"/>
      <c r="C21" s="144"/>
      <c r="D21" s="106"/>
      <c r="E21" s="106"/>
      <c r="F21" s="106"/>
      <c r="G21" s="106"/>
      <c r="H21" s="146" t="str">
        <f aca="false">IF(B21="","",D21*$C$5+E21*$C$6+F21*$C$7+G21*$C$8)</f>
        <v/>
      </c>
      <c r="I21" s="89" t="str">
        <f aca="false">IF(H21="","",IF(H21&gt;=8,"⭐強力買進",IF(H21&gt;=6.5,"✅考慮買進",IF(H21&gt;=5,"⚠️觀察",IF(H21&gt;0,"❌暫不考慮","")))))</f>
        <v/>
      </c>
    </row>
    <row r="22" customFormat="false" ht="21.75" hidden="false" customHeight="true" outlineLevel="0" collapsed="false">
      <c r="B22" s="106"/>
      <c r="C22" s="147"/>
      <c r="D22" s="106"/>
      <c r="E22" s="106"/>
      <c r="F22" s="106"/>
      <c r="G22" s="106"/>
      <c r="H22" s="146" t="str">
        <f aca="false">IF(B22="","",D22*$C$5+E22*$C$6+F22*$C$7+G22*$C$8)</f>
        <v/>
      </c>
      <c r="I22" s="85" t="str">
        <f aca="false">IF(H22="","",IF(H22&gt;=8,"⭐強力買進",IF(H22&gt;=6.5,"✅考慮買進",IF(H22&gt;=5,"⚠️觀察",IF(H22&gt;0,"❌暫不考慮","")))))</f>
        <v/>
      </c>
    </row>
    <row r="23" customFormat="false" ht="7.5" hidden="false" customHeight="true" outlineLevel="0" collapsed="false"/>
    <row r="24" customFormat="false" ht="24" hidden="false" customHeight="true" outlineLevel="0" collapsed="false">
      <c r="B24" s="53" t="s">
        <v>265</v>
      </c>
      <c r="C24" s="53"/>
      <c r="D24" s="53"/>
      <c r="E24" s="53"/>
      <c r="F24" s="53"/>
      <c r="G24" s="53"/>
      <c r="H24" s="53"/>
      <c r="I24" s="53"/>
    </row>
    <row r="25" customFormat="false" ht="21.75" hidden="false" customHeight="true" outlineLevel="0" collapsed="false">
      <c r="B25" s="148" t="s">
        <v>266</v>
      </c>
      <c r="C25" s="23" t="s">
        <v>267</v>
      </c>
      <c r="D25" s="23"/>
      <c r="E25" s="23"/>
      <c r="F25" s="23"/>
      <c r="G25" s="23"/>
      <c r="H25" s="23"/>
      <c r="I25" s="23"/>
    </row>
    <row r="26" customFormat="false" ht="21.75" hidden="false" customHeight="true" outlineLevel="0" collapsed="false">
      <c r="B26" s="82" t="s">
        <v>268</v>
      </c>
      <c r="C26" s="23" t="s">
        <v>269</v>
      </c>
      <c r="D26" s="23"/>
      <c r="E26" s="23"/>
      <c r="F26" s="23"/>
      <c r="G26" s="23"/>
      <c r="H26" s="23"/>
      <c r="I26" s="23"/>
    </row>
    <row r="27" customFormat="false" ht="21.75" hidden="false" customHeight="true" outlineLevel="0" collapsed="false">
      <c r="B27" s="148" t="s">
        <v>270</v>
      </c>
      <c r="C27" s="23" t="s">
        <v>271</v>
      </c>
      <c r="D27" s="23"/>
      <c r="E27" s="23"/>
      <c r="F27" s="23"/>
      <c r="G27" s="23"/>
      <c r="H27" s="23"/>
      <c r="I27" s="23"/>
    </row>
    <row r="28" customFormat="false" ht="21.75" hidden="false" customHeight="true" outlineLevel="0" collapsed="false">
      <c r="B28" s="82" t="s">
        <v>272</v>
      </c>
      <c r="C28" s="55" t="s">
        <v>273</v>
      </c>
      <c r="D28" s="55"/>
      <c r="E28" s="55"/>
      <c r="F28" s="55"/>
      <c r="G28" s="55"/>
      <c r="H28" s="55"/>
      <c r="I28" s="55"/>
    </row>
  </sheetData>
  <mergeCells count="14">
    <mergeCell ref="B1:I1"/>
    <mergeCell ref="B2:I2"/>
    <mergeCell ref="B4:I4"/>
    <mergeCell ref="D5:I5"/>
    <mergeCell ref="D6:I6"/>
    <mergeCell ref="D7:I7"/>
    <mergeCell ref="D8:I8"/>
    <mergeCell ref="D9:I9"/>
    <mergeCell ref="B11:I11"/>
    <mergeCell ref="B24:I24"/>
    <mergeCell ref="C25:I25"/>
    <mergeCell ref="C26:I26"/>
    <mergeCell ref="C27:I27"/>
    <mergeCell ref="C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2026-05-16T01:49:29Z</dcterms:created>
  <dc:creator>openpyxl</dc:creator>
  <dc:description/>
  <dc:language>en-US</dc:language>
  <cp:lastModifiedBy/>
  <dcterms:modified xsi:type="dcterms:W3CDTF">2026-05-16T02:32:47Z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